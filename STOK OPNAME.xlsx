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LAPORAN STOKE MARET\"/>
    </mc:Choice>
  </mc:AlternateContent>
  <xr:revisionPtr revIDLastSave="0" documentId="8_{2C33DCB7-3BC8-47B0-BFA3-3DE5D7B8268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" sheetId="1" r:id="rId1"/>
    <sheet name="BARANG MASUK " sheetId="2" r:id="rId2"/>
    <sheet name="Sheet1" sheetId="4" r:id="rId3"/>
    <sheet name="BARANG KELUAR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07" i="1" l="1"/>
  <c r="Z107" i="1" s="1"/>
  <c r="Y108" i="1"/>
  <c r="Z108" i="1"/>
  <c r="Y109" i="1"/>
  <c r="Z109" i="1" s="1"/>
  <c r="Y110" i="1"/>
  <c r="Z110" i="1"/>
  <c r="Y111" i="1"/>
  <c r="Z111" i="1" s="1"/>
  <c r="Y112" i="1"/>
  <c r="Z112" i="1"/>
  <c r="Y113" i="1"/>
  <c r="Z113" i="1" s="1"/>
  <c r="Y114" i="1"/>
  <c r="Z114" i="1"/>
  <c r="Y115" i="1"/>
  <c r="Z115" i="1" s="1"/>
  <c r="Y116" i="1"/>
  <c r="Z116" i="1"/>
  <c r="Y117" i="1"/>
  <c r="Z117" i="1" s="1"/>
  <c r="Y118" i="1"/>
  <c r="Z118" i="1"/>
  <c r="Y119" i="1"/>
  <c r="Z119" i="1" s="1"/>
  <c r="Y120" i="1"/>
  <c r="Z120" i="1"/>
  <c r="Y121" i="1"/>
  <c r="Z121" i="1" s="1"/>
  <c r="Y122" i="1"/>
  <c r="Z122" i="1" s="1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Y6" i="1"/>
  <c r="Z6" i="1" s="1"/>
  <c r="Y7" i="1"/>
  <c r="Z7" i="1" s="1"/>
  <c r="Y8" i="1"/>
  <c r="Z8" i="1" s="1"/>
  <c r="Y9" i="1"/>
  <c r="Z9" i="1" s="1"/>
  <c r="Y10" i="1"/>
  <c r="Z10" i="1" s="1"/>
  <c r="Y11" i="1"/>
  <c r="Z11" i="1" s="1"/>
  <c r="Y12" i="1"/>
  <c r="Z12" i="1" s="1"/>
  <c r="Y13" i="1"/>
  <c r="Z13" i="1" s="1"/>
  <c r="Y14" i="1"/>
  <c r="Z14" i="1" s="1"/>
  <c r="Y15" i="1"/>
  <c r="Z15" i="1" s="1"/>
  <c r="Y16" i="1"/>
  <c r="Z16" i="1" s="1"/>
  <c r="Y17" i="1"/>
  <c r="Z17" i="1" s="1"/>
  <c r="Y18" i="1"/>
  <c r="Z18" i="1" s="1"/>
  <c r="Y19" i="1"/>
  <c r="Z19" i="1" s="1"/>
  <c r="Y20" i="1"/>
  <c r="Z20" i="1" s="1"/>
  <c r="Y21" i="1"/>
  <c r="Z21" i="1" s="1"/>
  <c r="Y22" i="1"/>
  <c r="Z22" i="1" s="1"/>
  <c r="Y23" i="1"/>
  <c r="Z23" i="1" s="1"/>
  <c r="Y24" i="1"/>
  <c r="Z24" i="1" s="1"/>
  <c r="Y25" i="1"/>
  <c r="Z25" i="1" s="1"/>
  <c r="Y26" i="1"/>
  <c r="Z26" i="1" s="1"/>
  <c r="Y27" i="1"/>
  <c r="Z27" i="1" s="1"/>
  <c r="Y28" i="1"/>
  <c r="Z28" i="1" s="1"/>
  <c r="Y29" i="1"/>
  <c r="Z29" i="1" s="1"/>
  <c r="Y30" i="1"/>
  <c r="Z30" i="1" s="1"/>
  <c r="Y31" i="1"/>
  <c r="Z31" i="1" s="1"/>
  <c r="Y32" i="1"/>
  <c r="Z32" i="1" s="1"/>
  <c r="Y33" i="1"/>
  <c r="Z33" i="1" s="1"/>
  <c r="Y34" i="1"/>
  <c r="Z34" i="1" s="1"/>
  <c r="Y35" i="1"/>
  <c r="Z35" i="1" s="1"/>
  <c r="Y36" i="1"/>
  <c r="Z36" i="1" s="1"/>
  <c r="Y37" i="1"/>
  <c r="Z37" i="1" s="1"/>
  <c r="Y38" i="1"/>
  <c r="Z38" i="1" s="1"/>
  <c r="Y39" i="1"/>
  <c r="Z39" i="1" s="1"/>
  <c r="Y40" i="1"/>
  <c r="Z40" i="1" s="1"/>
  <c r="Y41" i="1"/>
  <c r="Z41" i="1" s="1"/>
  <c r="Y42" i="1"/>
  <c r="Z42" i="1" s="1"/>
  <c r="Y43" i="1"/>
  <c r="Z43" i="1" s="1"/>
  <c r="Y44" i="1"/>
  <c r="Z44" i="1" s="1"/>
  <c r="Y45" i="1"/>
  <c r="Z45" i="1" s="1"/>
  <c r="Y46" i="1"/>
  <c r="Z46" i="1" s="1"/>
  <c r="Y47" i="1"/>
  <c r="Z47" i="1" s="1"/>
  <c r="Y48" i="1"/>
  <c r="Z48" i="1" s="1"/>
  <c r="Y49" i="1"/>
  <c r="Z49" i="1" s="1"/>
  <c r="Y50" i="1"/>
  <c r="Z50" i="1" s="1"/>
  <c r="Y51" i="1"/>
  <c r="Z51" i="1" s="1"/>
  <c r="Y52" i="1"/>
  <c r="Z52" i="1" s="1"/>
  <c r="Y53" i="1"/>
  <c r="Z53" i="1" s="1"/>
  <c r="Y54" i="1"/>
  <c r="Z54" i="1" s="1"/>
  <c r="Y55" i="1"/>
  <c r="Z55" i="1" s="1"/>
  <c r="Y56" i="1"/>
  <c r="Z56" i="1" s="1"/>
  <c r="Y57" i="1"/>
  <c r="Z57" i="1" s="1"/>
  <c r="Y58" i="1"/>
  <c r="Z58" i="1" s="1"/>
  <c r="Y59" i="1"/>
  <c r="Z59" i="1" s="1"/>
  <c r="Y60" i="1"/>
  <c r="Z60" i="1" s="1"/>
  <c r="Y61" i="1"/>
  <c r="Z61" i="1" s="1"/>
  <c r="Y62" i="1"/>
  <c r="Z62" i="1" s="1"/>
  <c r="Y63" i="1"/>
  <c r="Z63" i="1" s="1"/>
  <c r="Y64" i="1"/>
  <c r="Z64" i="1" s="1"/>
  <c r="Y65" i="1"/>
  <c r="Z65" i="1" s="1"/>
  <c r="Y66" i="1"/>
  <c r="Z66" i="1" s="1"/>
  <c r="Y67" i="1"/>
  <c r="Z67" i="1" s="1"/>
  <c r="Y68" i="1"/>
  <c r="Z68" i="1" s="1"/>
  <c r="Y69" i="1"/>
  <c r="Z69" i="1" s="1"/>
  <c r="Y70" i="1"/>
  <c r="Z70" i="1" s="1"/>
  <c r="Y71" i="1"/>
  <c r="Z71" i="1" s="1"/>
  <c r="Y72" i="1"/>
  <c r="Z72" i="1" s="1"/>
  <c r="Y73" i="1"/>
  <c r="Z73" i="1" s="1"/>
  <c r="Y74" i="1"/>
  <c r="Z74" i="1" s="1"/>
  <c r="Y75" i="1"/>
  <c r="Z75" i="1" s="1"/>
  <c r="Y76" i="1"/>
  <c r="Z76" i="1" s="1"/>
  <c r="Y77" i="1"/>
  <c r="Z77" i="1" s="1"/>
  <c r="Y78" i="1"/>
  <c r="Z78" i="1" s="1"/>
  <c r="Y79" i="1"/>
  <c r="Z79" i="1" s="1"/>
  <c r="Y80" i="1"/>
  <c r="Z80" i="1" s="1"/>
  <c r="Y81" i="1"/>
  <c r="Z81" i="1" s="1"/>
  <c r="Y82" i="1"/>
  <c r="Z82" i="1" s="1"/>
  <c r="Y83" i="1"/>
  <c r="Z83" i="1" s="1"/>
  <c r="Y84" i="1"/>
  <c r="Z84" i="1" s="1"/>
  <c r="Y85" i="1"/>
  <c r="Z85" i="1" s="1"/>
  <c r="Y86" i="1"/>
  <c r="Z86" i="1" s="1"/>
  <c r="Y87" i="1"/>
  <c r="Z87" i="1" s="1"/>
  <c r="Y88" i="1"/>
  <c r="Z88" i="1" s="1"/>
  <c r="Y89" i="1"/>
  <c r="Z89" i="1" s="1"/>
  <c r="Y90" i="1"/>
  <c r="Z90" i="1" s="1"/>
  <c r="Y91" i="1"/>
  <c r="Z91" i="1" s="1"/>
  <c r="Y92" i="1"/>
  <c r="Z92" i="1" s="1"/>
  <c r="Y93" i="1"/>
  <c r="Z93" i="1" s="1"/>
  <c r="Y94" i="1"/>
  <c r="Z94" i="1" s="1"/>
  <c r="Y95" i="1"/>
  <c r="Z95" i="1" s="1"/>
  <c r="Y96" i="1"/>
  <c r="Z96" i="1" s="1"/>
  <c r="Y97" i="1"/>
  <c r="Z97" i="1" s="1"/>
  <c r="Y98" i="1"/>
  <c r="Z98" i="1" s="1"/>
  <c r="Y99" i="1"/>
  <c r="Z99" i="1" s="1"/>
  <c r="Y100" i="1"/>
  <c r="Z100" i="1" s="1"/>
  <c r="Y101" i="1"/>
  <c r="Z101" i="1" s="1"/>
  <c r="Y102" i="1"/>
  <c r="Z102" i="1" s="1"/>
  <c r="Y103" i="1"/>
  <c r="Z103" i="1" s="1"/>
  <c r="Y104" i="1"/>
  <c r="Z104" i="1" s="1"/>
  <c r="Y105" i="1"/>
  <c r="Z105" i="1" s="1"/>
  <c r="Y106" i="1"/>
  <c r="Z106" i="1" s="1"/>
  <c r="Y5" i="1"/>
  <c r="Z5" i="1" s="1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</calcChain>
</file>

<file path=xl/sharedStrings.xml><?xml version="1.0" encoding="utf-8"?>
<sst xmlns="http://schemas.openxmlformats.org/spreadsheetml/2006/main" count="853" uniqueCount="262">
  <si>
    <t>NO</t>
  </si>
  <si>
    <t>KODE</t>
  </si>
  <si>
    <t xml:space="preserve">NAMA BARANG </t>
  </si>
  <si>
    <t xml:space="preserve">SATUAN </t>
  </si>
  <si>
    <t>BARANG</t>
  </si>
  <si>
    <t>BB-001</t>
  </si>
  <si>
    <t>Sak</t>
  </si>
  <si>
    <t>BB-002</t>
  </si>
  <si>
    <t xml:space="preserve">MINYAK GORENG </t>
  </si>
  <si>
    <t>pcs</t>
  </si>
  <si>
    <t>BB-003</t>
  </si>
  <si>
    <t xml:space="preserve">SEGITIGA BIRU </t>
  </si>
  <si>
    <t>BB-004</t>
  </si>
  <si>
    <t>TEPUNG TAPIOKA</t>
  </si>
  <si>
    <t>BB-005</t>
  </si>
  <si>
    <t>TEPUNG BERAS</t>
  </si>
  <si>
    <t>BB-006</t>
  </si>
  <si>
    <t xml:space="preserve">TEPUNG KOBE </t>
  </si>
  <si>
    <t>BB-007</t>
  </si>
  <si>
    <t>MASAKO</t>
  </si>
  <si>
    <t>BB-008</t>
  </si>
  <si>
    <t>AJINAMOTO</t>
  </si>
  <si>
    <t>BB-009</t>
  </si>
  <si>
    <t xml:space="preserve">GARAM </t>
  </si>
  <si>
    <t>BB-010</t>
  </si>
  <si>
    <t>MAIZENAKU</t>
  </si>
  <si>
    <t>BB-011</t>
  </si>
  <si>
    <t>MENTEGA BALOK</t>
  </si>
  <si>
    <t>BB-012</t>
  </si>
  <si>
    <t xml:space="preserve">BAWANG GORENG </t>
  </si>
  <si>
    <t>BB-013</t>
  </si>
  <si>
    <t xml:space="preserve">TERASI UDANG </t>
  </si>
  <si>
    <t>pack</t>
  </si>
  <si>
    <t>BB-014</t>
  </si>
  <si>
    <t xml:space="preserve">PEWARNA PANGAN MERAH CABE </t>
  </si>
  <si>
    <t>BB-015</t>
  </si>
  <si>
    <t>KERUPUK PESTA</t>
  </si>
  <si>
    <t>BB-016</t>
  </si>
  <si>
    <t xml:space="preserve">KERUPUK FINNA </t>
  </si>
  <si>
    <t>BB-017</t>
  </si>
  <si>
    <t>MUSHROOM</t>
  </si>
  <si>
    <t>BB-018</t>
  </si>
  <si>
    <t>HERCULES</t>
  </si>
  <si>
    <t>BB-019</t>
  </si>
  <si>
    <t>MADU TJ</t>
  </si>
  <si>
    <t>BB-020</t>
  </si>
  <si>
    <t xml:space="preserve">SODA KUE </t>
  </si>
  <si>
    <t>BB-021</t>
  </si>
  <si>
    <t xml:space="preserve">CUKA DAPUR </t>
  </si>
  <si>
    <t>botol</t>
  </si>
  <si>
    <t>BB-022</t>
  </si>
  <si>
    <t xml:space="preserve">SAUS TIRAM CAP PANDA </t>
  </si>
  <si>
    <t>BB-023</t>
  </si>
  <si>
    <t xml:space="preserve">KECAP INGGRIS </t>
  </si>
  <si>
    <t>BB-024</t>
  </si>
  <si>
    <t xml:space="preserve">ANCIU PENYEDAP MAKANAN </t>
  </si>
  <si>
    <t>BB-025</t>
  </si>
  <si>
    <t xml:space="preserve">KECAP HITAM </t>
  </si>
  <si>
    <t>BB-026</t>
  </si>
  <si>
    <t xml:space="preserve">MINYAK WIJEN </t>
  </si>
  <si>
    <t>BB-027</t>
  </si>
  <si>
    <t xml:space="preserve">KECAP IKAN FINNA </t>
  </si>
  <si>
    <t>BB-028</t>
  </si>
  <si>
    <t xml:space="preserve">SAUS RAJA RASA </t>
  </si>
  <si>
    <t>BB-029</t>
  </si>
  <si>
    <t>KECAP IKAN ROYAL</t>
  </si>
  <si>
    <t>BB-030</t>
  </si>
  <si>
    <t xml:space="preserve">KECAP ASIN </t>
  </si>
  <si>
    <t>BB-031</t>
  </si>
  <si>
    <t xml:space="preserve">KECAP BANGO </t>
  </si>
  <si>
    <t>BB-032</t>
  </si>
  <si>
    <t xml:space="preserve">SAUS ABC SAMBEL ASLI </t>
  </si>
  <si>
    <t>BB-033</t>
  </si>
  <si>
    <t xml:space="preserve">SAUS ABC TOMAT </t>
  </si>
  <si>
    <t>BB-034</t>
  </si>
  <si>
    <t xml:space="preserve">SANTAN KARA SUN </t>
  </si>
  <si>
    <t>BB-035</t>
  </si>
  <si>
    <t xml:space="preserve">SAUS TOMAT CAP BAGONG </t>
  </si>
  <si>
    <t>BB-036</t>
  </si>
  <si>
    <t xml:space="preserve">SUSU UHT </t>
  </si>
  <si>
    <t>BB-037</t>
  </si>
  <si>
    <t>MAX CREAMER</t>
  </si>
  <si>
    <t>BB-038</t>
  </si>
  <si>
    <t xml:space="preserve">SUSU EVAPORASI </t>
  </si>
  <si>
    <t>BB-039</t>
  </si>
  <si>
    <t xml:space="preserve">MORING TOPPING COKLAT </t>
  </si>
  <si>
    <t>BB-040</t>
  </si>
  <si>
    <t xml:space="preserve">MORING TOPPING CARAMEL </t>
  </si>
  <si>
    <t>BB-041</t>
  </si>
  <si>
    <t>MORING TOPPING STRAWBERY</t>
  </si>
  <si>
    <t>BB-042</t>
  </si>
  <si>
    <t>MARJAN LECI</t>
  </si>
  <si>
    <t>BB-043</t>
  </si>
  <si>
    <t>MARJAN VANILA</t>
  </si>
  <si>
    <t>BB-044</t>
  </si>
  <si>
    <t xml:space="preserve">ABC COCOPANDAN </t>
  </si>
  <si>
    <t>BB-045</t>
  </si>
  <si>
    <t>DENALI VANILA</t>
  </si>
  <si>
    <t>BB-046</t>
  </si>
  <si>
    <t>DENALI TIRAMISU</t>
  </si>
  <si>
    <t>BB-047</t>
  </si>
  <si>
    <t>DENALI STRAWBERY</t>
  </si>
  <si>
    <t>BB-048</t>
  </si>
  <si>
    <t>DENALI GRENADINE</t>
  </si>
  <si>
    <t>BB-049</t>
  </si>
  <si>
    <t>TORANI MOJITO MINT</t>
  </si>
  <si>
    <t>BB-050</t>
  </si>
  <si>
    <t xml:space="preserve">TORANI CARAMEL </t>
  </si>
  <si>
    <t>BB-051</t>
  </si>
  <si>
    <t xml:space="preserve">TORANI GREAN APLLE </t>
  </si>
  <si>
    <t>BB-052</t>
  </si>
  <si>
    <t>TORANI HUZELNUT</t>
  </si>
  <si>
    <t>BB-053</t>
  </si>
  <si>
    <t xml:space="preserve">DRIP PANDAN </t>
  </si>
  <si>
    <t>BB-054</t>
  </si>
  <si>
    <t>DRIP BUTTERSCUTH</t>
  </si>
  <si>
    <t>BB-055</t>
  </si>
  <si>
    <t>DARK COCO POWDER</t>
  </si>
  <si>
    <t>BB-056</t>
  </si>
  <si>
    <t xml:space="preserve">DENALI POWDER VANILLA </t>
  </si>
  <si>
    <t>BB-057</t>
  </si>
  <si>
    <t xml:space="preserve">DENALI POWDER TARO </t>
  </si>
  <si>
    <t>BB-058</t>
  </si>
  <si>
    <t>OREO CRUMBE</t>
  </si>
  <si>
    <t>BB-059</t>
  </si>
  <si>
    <t>OREO ORIGINAL</t>
  </si>
  <si>
    <t>BB-060</t>
  </si>
  <si>
    <t>CHO CHO RATU COKLAT</t>
  </si>
  <si>
    <t>BB-061</t>
  </si>
  <si>
    <t>CHO CHO RATU STRAWBERY</t>
  </si>
  <si>
    <t>BB-062</t>
  </si>
  <si>
    <t>THE POCI</t>
  </si>
  <si>
    <t>BB-063</t>
  </si>
  <si>
    <t>OUT MILK</t>
  </si>
  <si>
    <t>BB-064</t>
  </si>
  <si>
    <t>LYCHEES IN SIRUP</t>
  </si>
  <si>
    <t>BB-065</t>
  </si>
  <si>
    <t xml:space="preserve">WIPPY CREAM </t>
  </si>
  <si>
    <t>BB-066</t>
  </si>
  <si>
    <t>KEJU PROCHIZ GOLD</t>
  </si>
  <si>
    <t>BB-067</t>
  </si>
  <si>
    <t>KEJU PROCHIZ SPREADY</t>
  </si>
  <si>
    <t>BB-068</t>
  </si>
  <si>
    <t xml:space="preserve">SIRUP GULA AREN </t>
  </si>
  <si>
    <t>BB-069</t>
  </si>
  <si>
    <t>SPRITE</t>
  </si>
  <si>
    <t>BB-070</t>
  </si>
  <si>
    <t xml:space="preserve">SUSU OMELA </t>
  </si>
  <si>
    <t>BB-071</t>
  </si>
  <si>
    <t xml:space="preserve">SUSU COKLAT </t>
  </si>
  <si>
    <t>BB-072</t>
  </si>
  <si>
    <t xml:space="preserve">ES CREAM COKLAT </t>
  </si>
  <si>
    <t>BB-073</t>
  </si>
  <si>
    <t xml:space="preserve">ES CREAM VANILLA </t>
  </si>
  <si>
    <t>BB-074</t>
  </si>
  <si>
    <t>ES CREAM STRAWBERY</t>
  </si>
  <si>
    <t>BB-075</t>
  </si>
  <si>
    <t>GULA PASIR</t>
  </si>
  <si>
    <t>BB-076</t>
  </si>
  <si>
    <t>SUNLIGHT 5L</t>
  </si>
  <si>
    <t>BB-077</t>
  </si>
  <si>
    <t xml:space="preserve">KENTANG </t>
  </si>
  <si>
    <t>BB-078</t>
  </si>
  <si>
    <t xml:space="preserve">SINGKONG </t>
  </si>
  <si>
    <t>BB-079</t>
  </si>
  <si>
    <t xml:space="preserve">BAKSO IKAN </t>
  </si>
  <si>
    <t xml:space="preserve"> </t>
  </si>
  <si>
    <t>BB-080</t>
  </si>
  <si>
    <t>BAKSO SAPI</t>
  </si>
  <si>
    <t>BB-081</t>
  </si>
  <si>
    <t>IKAN KAKAP XL</t>
  </si>
  <si>
    <t>BB-082</t>
  </si>
  <si>
    <t>IKAN KAKAP L</t>
  </si>
  <si>
    <t>BB-083</t>
  </si>
  <si>
    <t>IKAN KAKAP M</t>
  </si>
  <si>
    <t>BB-084</t>
  </si>
  <si>
    <t>IKAN MUBARA XL</t>
  </si>
  <si>
    <t>BB-085</t>
  </si>
  <si>
    <t>IKAN MUBARA L</t>
  </si>
  <si>
    <t>BB-086</t>
  </si>
  <si>
    <t>IKAN MUBARA M</t>
  </si>
  <si>
    <t>BB-087</t>
  </si>
  <si>
    <t>IKAN MUBARA JUMBO</t>
  </si>
  <si>
    <t>BB-088</t>
  </si>
  <si>
    <t>IKAN KERAPU XL</t>
  </si>
  <si>
    <t>BB-089</t>
  </si>
  <si>
    <t>IKAN KERAPU L</t>
  </si>
  <si>
    <t>BB-090</t>
  </si>
  <si>
    <t>IKAN KERAPU M</t>
  </si>
  <si>
    <t>BB-091</t>
  </si>
  <si>
    <t>AYAM 0,9 KG</t>
  </si>
  <si>
    <t>BB-092</t>
  </si>
  <si>
    <t>AYAM 2 KG</t>
  </si>
  <si>
    <t>BB-093</t>
  </si>
  <si>
    <t>AYAM BLD</t>
  </si>
  <si>
    <t>BB-094</t>
  </si>
  <si>
    <t>AYAM BLP</t>
  </si>
  <si>
    <t>BB-095</t>
  </si>
  <si>
    <t>UDANG</t>
  </si>
  <si>
    <t>BB-096</t>
  </si>
  <si>
    <t>CUMI</t>
  </si>
  <si>
    <t>BB-097</t>
  </si>
  <si>
    <t xml:space="preserve">RAHANG TUNA </t>
  </si>
  <si>
    <t>kg</t>
  </si>
  <si>
    <t>BB-098</t>
  </si>
  <si>
    <t xml:space="preserve">DADA TUNA </t>
  </si>
  <si>
    <t>BB-099</t>
  </si>
  <si>
    <t>BB-100</t>
  </si>
  <si>
    <t>BB-101</t>
  </si>
  <si>
    <t>BB-102</t>
  </si>
  <si>
    <t xml:space="preserve">JUMLAH HARGA TOTAL </t>
  </si>
  <si>
    <t xml:space="preserve">BARANG MASUK </t>
  </si>
  <si>
    <t xml:space="preserve">TANGGAL </t>
  </si>
  <si>
    <t xml:space="preserve">KODE BARANG </t>
  </si>
  <si>
    <t xml:space="preserve">JUMLAH MASUK </t>
  </si>
  <si>
    <t>23/03/2026</t>
  </si>
  <si>
    <t>BARANG KELUAR</t>
  </si>
  <si>
    <t>TANGGAL</t>
  </si>
  <si>
    <t xml:space="preserve">JUMLAH BARANG </t>
  </si>
  <si>
    <t xml:space="preserve">IN </t>
  </si>
  <si>
    <t>OUT</t>
  </si>
  <si>
    <t xml:space="preserve">SISA STOK </t>
  </si>
  <si>
    <t xml:space="preserve">NILAI PERSEDIAAN AKHIR </t>
  </si>
  <si>
    <t>STOK AWAL</t>
  </si>
  <si>
    <t>STOK OPNAME PERSEDIAN BAHAN BAKU MARET</t>
  </si>
  <si>
    <t>HARGA BARANG</t>
  </si>
  <si>
    <t xml:space="preserve">NO </t>
  </si>
  <si>
    <t xml:space="preserve"> MASUK </t>
  </si>
  <si>
    <t>KELUAR</t>
  </si>
  <si>
    <t>SISA STOK</t>
  </si>
  <si>
    <t>NILAI PERSEDIAAN AKHIR</t>
  </si>
  <si>
    <t>LAPORAN STOK BARANG HARIAN</t>
  </si>
  <si>
    <t>23 OKTOBER 2026</t>
  </si>
  <si>
    <t>BERAS 10kg</t>
  </si>
  <si>
    <t>BB-103</t>
  </si>
  <si>
    <t>BB-104</t>
  </si>
  <si>
    <t>BB-105</t>
  </si>
  <si>
    <t>BB-106</t>
  </si>
  <si>
    <t>BB-107</t>
  </si>
  <si>
    <t>BB-108</t>
  </si>
  <si>
    <t>BB-109</t>
  </si>
  <si>
    <t>BB-110</t>
  </si>
  <si>
    <t>BB-111</t>
  </si>
  <si>
    <t>BB-112</t>
  </si>
  <si>
    <t>BB-113</t>
  </si>
  <si>
    <t>BB-114</t>
  </si>
  <si>
    <t>BB-115</t>
  </si>
  <si>
    <t>BB-116</t>
  </si>
  <si>
    <t>BB-117</t>
  </si>
  <si>
    <t>WIPOL</t>
  </si>
  <si>
    <t xml:space="preserve">CLING </t>
  </si>
  <si>
    <t xml:space="preserve">KANTONG SAMPAH JUMBO </t>
  </si>
  <si>
    <t>KANTONG SAMPAH BESAR</t>
  </si>
  <si>
    <t xml:space="preserve">KANTONG SAMPAH KECIL </t>
  </si>
  <si>
    <t>PLASTIK LOCO 35</t>
  </si>
  <si>
    <t xml:space="preserve">PLASTIK LOCO 28 </t>
  </si>
  <si>
    <t xml:space="preserve">TEMPAT SAMBEL </t>
  </si>
  <si>
    <t>MIKA 2A</t>
  </si>
  <si>
    <t>MIKA M1</t>
  </si>
  <si>
    <t xml:space="preserve">MIKA JUMBO </t>
  </si>
  <si>
    <t>TISUE JOLY BESAR</t>
  </si>
  <si>
    <t>TISUE JOLY ROLL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</si>
</sst>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p* #,###"/>
  </numFmts>
  <fonts count="10">
    <font>
      <sz val="11"/>
      <color theme="1"/>
      <name val="Aptos Narrow"/>
      <charset val="134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charset val="134"/>
      <scheme val="minor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name val="Aptos Narrow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theme="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vertical="center"/>
    </xf>
    <xf numFmtId="0" fontId="0" fillId="0" borderId="3" xfId="0" applyBorder="1"/>
    <xf numFmtId="0" fontId="0" fillId="0" borderId="4" xfId="0" applyBorder="1"/>
    <xf numFmtId="0" fontId="0" fillId="0" borderId="0" xfId="0" applyAlignment="1">
      <alignment horizontal="center" vertical="center"/>
    </xf>
    <xf numFmtId="0" fontId="4" fillId="0" borderId="0" xfId="0" applyFont="1"/>
    <xf numFmtId="0" fontId="6" fillId="2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6" fontId="6" fillId="3" borderId="3" xfId="0" applyNumberFormat="1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5" xfId="0" applyFont="1" applyBorder="1"/>
    <xf numFmtId="0" fontId="4" fillId="0" borderId="3" xfId="0" applyFont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  <xf numFmtId="0" fontId="4" fillId="0" borderId="4" xfId="0" applyFont="1" applyBorder="1"/>
    <xf numFmtId="0" fontId="4" fillId="4" borderId="5" xfId="0" applyFont="1" applyFill="1" applyBorder="1"/>
    <xf numFmtId="0" fontId="4" fillId="0" borderId="0" xfId="0" applyFont="1" applyAlignment="1">
      <alignment horizontal="center" vertical="center"/>
    </xf>
    <xf numFmtId="0" fontId="6" fillId="4" borderId="3" xfId="0" applyFont="1" applyFill="1" applyBorder="1" applyAlignment="1">
      <alignment horizontal="center" vertical="center" wrapText="1"/>
    </xf>
    <xf numFmtId="16" fontId="6" fillId="4" borderId="3" xfId="0" applyNumberFormat="1" applyFont="1" applyFill="1" applyBorder="1" applyAlignment="1">
      <alignment horizontal="center" vertical="center"/>
    </xf>
    <xf numFmtId="164" fontId="4" fillId="0" borderId="3" xfId="0" applyNumberFormat="1" applyFont="1" applyBorder="1"/>
    <xf numFmtId="0" fontId="0" fillId="0" borderId="3" xfId="0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center"/>
    </xf>
    <xf numFmtId="0" fontId="1" fillId="0" borderId="3" xfId="0" applyFont="1" applyBorder="1"/>
    <xf numFmtId="0" fontId="5" fillId="0" borderId="3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12">
    <dxf>
      <alignment horizontal="center"/>
    </dxf>
    <dxf>
      <border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\R\p* #,###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textRotation="0" wrapText="0" indent="0" justifyLastLine="0" shrinkToFit="0" readingOrder="0"/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b/>
        <family val="2"/>
      </font>
      <alignment horizontal="center" textRotation="0" wrapText="0" indent="0" justifyLastLine="0" shrinkToFit="0" readingOrder="0"/>
    </dxf>
    <dxf>
      <alignment horizontal="center" vertical="center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D105" totalsRowShown="0">
  <tableColumns count="4">
    <tableColumn id="1" xr3:uid="{00000000-0010-0000-0000-000001000000}" name="TANGGAL "/>
    <tableColumn id="2" xr3:uid="{00000000-0010-0000-0000-000002000000}" name="KODE BARANG " dataDxfId="11"/>
    <tableColumn id="3" xr3:uid="{00000000-0010-0000-0000-000003000000}" name="NAMA BARANG ">
      <calculatedColumnFormula>VLOOKUP(Table1[[#This Row],[KODE BARANG ]],DATA!B5:C78,2,FALSE)</calculatedColumnFormula>
    </tableColumn>
    <tableColumn id="4" xr3:uid="{00000000-0010-0000-0000-000004000000}" name="JUMLAH MASUK " dataDxfId="10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6D42A01-5EE4-45A6-901C-5B7C19BC754A}" name="Table14" displayName="Table14" ref="A3:F105" totalsRowShown="0" headerRowDxfId="9" dataDxfId="8">
  <tableColumns count="6">
    <tableColumn id="1" xr3:uid="{1DA58386-AEE7-4B7F-97BE-A2A7D8B94D8B}" name="NO " dataDxfId="7"/>
    <tableColumn id="2" xr3:uid="{AAB7E249-2070-4DDB-AF6C-2C0EA25FBE9F}" name="KODE BARANG " dataDxfId="6"/>
    <tableColumn id="3" xr3:uid="{B83682D9-979D-40FD-8638-D6B2627D2B58}" name="NAMA BARANG " dataDxfId="5">
      <calculatedColumnFormula>VLOOKUP(Table14[[#This Row],[KODE BARANG ]],DATA!B5:C78,2,FALSE)</calculatedColumnFormula>
    </tableColumn>
    <tableColumn id="5" xr3:uid="{C599E6A7-B730-4EC7-8D60-333EC5C2920E}" name="HARGA BARANG" dataDxfId="4"/>
    <tableColumn id="6" xr3:uid="{08606504-07FE-45C4-BA5D-EA73FAFF7FE1}" name="STOK AWAL" dataDxfId="3"/>
    <tableColumn id="4" xr3:uid="{9AFB3149-3BE9-4437-8B64-B1871EAC4950}" name=" MASUK " dataDxfId="2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3:D105" totalsRowShown="0">
  <tableColumns count="4">
    <tableColumn id="1" xr3:uid="{00000000-0010-0000-0100-000001000000}" name="TANGGAL"/>
    <tableColumn id="2" xr3:uid="{00000000-0010-0000-0100-000002000000}" name="KODE BARANG " dataDxfId="1"/>
    <tableColumn id="3" xr3:uid="{00000000-0010-0000-0100-000003000000}" name="NAMA BARANG ">
      <calculatedColumnFormula>VLOOKUP(Table2[[#This Row],[KODE BARANG ]],DATA!B5:C78,2,FALSE)</calculatedColumnFormula>
    </tableColumn>
    <tableColumn id="4" xr3:uid="{00000000-0010-0000-0100-000004000000}" name="JUMLAH BARANG " dataDxfId="0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22"/>
  <sheetViews>
    <sheetView tabSelected="1" zoomScaleNormal="100" workbookViewId="0">
      <pane xSplit="6" ySplit="4" topLeftCell="G92" activePane="bottomRight" state="frozen"/>
      <selection pane="topRight" activeCell="G1" sqref="G1"/>
      <selection pane="bottomLeft" activeCell="A5" sqref="A5"/>
      <selection pane="bottomRight" activeCell="Z105" sqref="Z105"/>
    </sheetView>
  </sheetViews>
  <sheetFormatPr defaultColWidth="9" defaultRowHeight="15"/>
  <cols>
    <col min="1" max="1" width="4.25" style="6" customWidth="1"/>
    <col min="2" max="2" width="14.125" style="9" customWidth="1"/>
    <col min="3" max="3" width="31" style="6" customWidth="1"/>
    <col min="4" max="4" width="9" style="6" customWidth="1"/>
    <col min="5" max="5" width="17.875" style="6" bestFit="1" customWidth="1"/>
    <col min="6" max="6" width="13.25" style="6" bestFit="1" customWidth="1"/>
    <col min="7" max="25" width="11" style="6" customWidth="1"/>
    <col min="26" max="26" width="29.875" style="17" bestFit="1" customWidth="1"/>
    <col min="27" max="16384" width="9" style="6"/>
  </cols>
  <sheetData>
    <row r="1" spans="1:26" ht="26.25" customHeight="1">
      <c r="A1" s="32" t="s">
        <v>224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3" spans="1:26" s="9" customFormat="1" ht="30" customHeight="1">
      <c r="A3" s="33" t="s">
        <v>0</v>
      </c>
      <c r="B3" s="7" t="s">
        <v>1</v>
      </c>
      <c r="C3" s="37" t="s">
        <v>2</v>
      </c>
      <c r="D3" s="33" t="s">
        <v>3</v>
      </c>
      <c r="E3" s="33" t="s">
        <v>225</v>
      </c>
      <c r="F3" s="33" t="s">
        <v>223</v>
      </c>
      <c r="G3" s="18" t="s">
        <v>219</v>
      </c>
      <c r="H3" s="8" t="s">
        <v>220</v>
      </c>
      <c r="I3" s="18" t="s">
        <v>219</v>
      </c>
      <c r="J3" s="8" t="s">
        <v>220</v>
      </c>
      <c r="K3" s="18" t="s">
        <v>219</v>
      </c>
      <c r="L3" s="8" t="s">
        <v>220</v>
      </c>
      <c r="M3" s="18" t="s">
        <v>219</v>
      </c>
      <c r="N3" s="8" t="s">
        <v>220</v>
      </c>
      <c r="O3" s="18" t="s">
        <v>219</v>
      </c>
      <c r="P3" s="8" t="s">
        <v>220</v>
      </c>
      <c r="Q3" s="18" t="s">
        <v>219</v>
      </c>
      <c r="R3" s="8" t="s">
        <v>220</v>
      </c>
      <c r="S3" s="18" t="s">
        <v>219</v>
      </c>
      <c r="T3" s="8" t="s">
        <v>220</v>
      </c>
      <c r="U3" s="18" t="s">
        <v>219</v>
      </c>
      <c r="V3" s="8" t="s">
        <v>220</v>
      </c>
      <c r="W3" s="18" t="s">
        <v>219</v>
      </c>
      <c r="X3" s="8" t="s">
        <v>220</v>
      </c>
      <c r="Y3" s="35" t="s">
        <v>221</v>
      </c>
      <c r="Z3" s="39" t="s">
        <v>222</v>
      </c>
    </row>
    <row r="4" spans="1:26" s="9" customFormat="1" ht="30.75" customHeight="1">
      <c r="A4" s="34"/>
      <c r="B4" s="7" t="s">
        <v>4</v>
      </c>
      <c r="C4" s="38"/>
      <c r="D4" s="34"/>
      <c r="E4" s="34"/>
      <c r="F4" s="34"/>
      <c r="G4" s="19">
        <v>46113</v>
      </c>
      <c r="H4" s="10">
        <v>46113</v>
      </c>
      <c r="I4" s="19">
        <v>46114</v>
      </c>
      <c r="J4" s="10">
        <v>46114</v>
      </c>
      <c r="K4" s="19">
        <v>46115</v>
      </c>
      <c r="L4" s="10">
        <v>46115</v>
      </c>
      <c r="M4" s="19">
        <v>46116</v>
      </c>
      <c r="N4" s="10">
        <v>46116</v>
      </c>
      <c r="O4" s="19">
        <v>46117</v>
      </c>
      <c r="P4" s="10">
        <v>46117</v>
      </c>
      <c r="Q4" s="19">
        <v>46118</v>
      </c>
      <c r="R4" s="10">
        <v>46118</v>
      </c>
      <c r="S4" s="19">
        <v>46119</v>
      </c>
      <c r="T4" s="10">
        <v>46119</v>
      </c>
      <c r="U4" s="19">
        <v>46120</v>
      </c>
      <c r="V4" s="10">
        <v>46120</v>
      </c>
      <c r="W4" s="19">
        <v>46121</v>
      </c>
      <c r="X4" s="10">
        <v>46121</v>
      </c>
      <c r="Y4" s="36"/>
      <c r="Z4" s="39"/>
    </row>
    <row r="5" spans="1:26">
      <c r="A5" s="11"/>
      <c r="B5" s="11" t="s">
        <v>5</v>
      </c>
      <c r="C5" s="12" t="s">
        <v>233</v>
      </c>
      <c r="D5" s="11" t="s">
        <v>6</v>
      </c>
      <c r="E5" s="14">
        <v>178000</v>
      </c>
      <c r="F5" s="13">
        <v>6</v>
      </c>
      <c r="G5" s="13"/>
      <c r="H5" s="13">
        <v>4</v>
      </c>
      <c r="I5" s="13"/>
      <c r="J5" s="13"/>
      <c r="K5" s="13">
        <v>0</v>
      </c>
      <c r="L5" s="13">
        <v>0</v>
      </c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>
        <f>F5+G5-H5+I5-J5+K5-L5+M5-N5+O5-P5+Q5-R5+S5-T5+U5-V5+W5-X5</f>
        <v>2</v>
      </c>
      <c r="Z5" s="20">
        <f>E5*Y5</f>
        <v>356000</v>
      </c>
    </row>
    <row r="6" spans="1:26">
      <c r="A6" s="11"/>
      <c r="B6" s="11" t="s">
        <v>7</v>
      </c>
      <c r="C6" s="12" t="s">
        <v>8</v>
      </c>
      <c r="D6" s="11" t="s">
        <v>9</v>
      </c>
      <c r="E6" s="14">
        <v>32000</v>
      </c>
      <c r="F6" s="13">
        <v>14</v>
      </c>
      <c r="G6" s="13"/>
      <c r="H6" s="13">
        <v>10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>
        <f t="shared" ref="Y6:Y69" si="0">F6+G6-H6+I6-J6+K6-L6+M6-N6+O6-P6+Q6-R6+S6-T6+U6-V6+W6-X6</f>
        <v>4</v>
      </c>
      <c r="Z6" s="20">
        <f t="shared" ref="Z6:Z69" si="1">E6*Y6</f>
        <v>128000</v>
      </c>
    </row>
    <row r="7" spans="1:26">
      <c r="A7" s="11"/>
      <c r="B7" s="11" t="s">
        <v>10</v>
      </c>
      <c r="C7" s="12" t="s">
        <v>11</v>
      </c>
      <c r="D7" s="11" t="s">
        <v>9</v>
      </c>
      <c r="E7" s="14">
        <v>14000</v>
      </c>
      <c r="F7" s="13">
        <v>9</v>
      </c>
      <c r="G7" s="13"/>
      <c r="H7" s="13">
        <v>2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>
        <f t="shared" si="0"/>
        <v>7</v>
      </c>
      <c r="Z7" s="20">
        <f t="shared" si="1"/>
        <v>98000</v>
      </c>
    </row>
    <row r="8" spans="1:26">
      <c r="A8" s="11"/>
      <c r="B8" s="11" t="s">
        <v>12</v>
      </c>
      <c r="C8" s="12" t="s">
        <v>13</v>
      </c>
      <c r="D8" s="11" t="s">
        <v>9</v>
      </c>
      <c r="E8" s="14">
        <v>11000</v>
      </c>
      <c r="F8" s="13">
        <v>14</v>
      </c>
      <c r="G8" s="13"/>
      <c r="H8" s="13">
        <v>2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>
        <f t="shared" si="0"/>
        <v>12</v>
      </c>
      <c r="Z8" s="20">
        <f t="shared" si="1"/>
        <v>132000</v>
      </c>
    </row>
    <row r="9" spans="1:26">
      <c r="A9" s="11"/>
      <c r="B9" s="11" t="s">
        <v>14</v>
      </c>
      <c r="C9" s="12" t="s">
        <v>15</v>
      </c>
      <c r="D9" s="11" t="s">
        <v>9</v>
      </c>
      <c r="E9" s="14">
        <v>9000</v>
      </c>
      <c r="F9" s="13">
        <v>13</v>
      </c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>
        <f t="shared" si="0"/>
        <v>13</v>
      </c>
      <c r="Z9" s="20">
        <f t="shared" si="1"/>
        <v>117000</v>
      </c>
    </row>
    <row r="10" spans="1:26">
      <c r="A10" s="11"/>
      <c r="B10" s="11" t="s">
        <v>16</v>
      </c>
      <c r="C10" s="12" t="s">
        <v>17</v>
      </c>
      <c r="D10" s="11" t="s">
        <v>9</v>
      </c>
      <c r="E10" s="14">
        <v>23000</v>
      </c>
      <c r="F10" s="13">
        <v>19</v>
      </c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>
        <f t="shared" si="0"/>
        <v>19</v>
      </c>
      <c r="Z10" s="20">
        <f t="shared" si="1"/>
        <v>437000</v>
      </c>
    </row>
    <row r="11" spans="1:26">
      <c r="A11" s="11"/>
      <c r="B11" s="11" t="s">
        <v>18</v>
      </c>
      <c r="C11" s="12" t="s">
        <v>19</v>
      </c>
      <c r="D11" s="11" t="s">
        <v>9</v>
      </c>
      <c r="E11" s="14">
        <v>34000</v>
      </c>
      <c r="F11" s="13">
        <v>12</v>
      </c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>
        <f t="shared" si="0"/>
        <v>12</v>
      </c>
      <c r="Z11" s="20">
        <f t="shared" si="1"/>
        <v>408000</v>
      </c>
    </row>
    <row r="12" spans="1:26">
      <c r="A12" s="11"/>
      <c r="B12" s="11" t="s">
        <v>20</v>
      </c>
      <c r="C12" s="12" t="s">
        <v>21</v>
      </c>
      <c r="D12" s="11" t="s">
        <v>9</v>
      </c>
      <c r="E12" s="14">
        <v>46000</v>
      </c>
      <c r="F12" s="13">
        <v>7</v>
      </c>
      <c r="G12" s="13"/>
      <c r="H12" s="13">
        <v>1</v>
      </c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>
        <f t="shared" si="0"/>
        <v>6</v>
      </c>
      <c r="Z12" s="20">
        <f t="shared" si="1"/>
        <v>276000</v>
      </c>
    </row>
    <row r="13" spans="1:26">
      <c r="A13" s="11"/>
      <c r="B13" s="11" t="s">
        <v>22</v>
      </c>
      <c r="C13" s="12" t="s">
        <v>23</v>
      </c>
      <c r="D13" s="11" t="s">
        <v>9</v>
      </c>
      <c r="E13" s="14">
        <v>5000</v>
      </c>
      <c r="F13" s="13">
        <v>7</v>
      </c>
      <c r="G13" s="13">
        <v>20</v>
      </c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>
        <f t="shared" si="0"/>
        <v>27</v>
      </c>
      <c r="Z13" s="20">
        <f t="shared" si="1"/>
        <v>135000</v>
      </c>
    </row>
    <row r="14" spans="1:26">
      <c r="A14" s="11"/>
      <c r="B14" s="11" t="s">
        <v>24</v>
      </c>
      <c r="C14" s="12" t="s">
        <v>25</v>
      </c>
      <c r="D14" s="11" t="s">
        <v>9</v>
      </c>
      <c r="E14" s="14">
        <v>25000</v>
      </c>
      <c r="F14" s="13">
        <v>2</v>
      </c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>
        <f t="shared" si="0"/>
        <v>2</v>
      </c>
      <c r="Z14" s="20">
        <f t="shared" si="1"/>
        <v>50000</v>
      </c>
    </row>
    <row r="15" spans="1:26">
      <c r="A15" s="11"/>
      <c r="B15" s="11" t="s">
        <v>26</v>
      </c>
      <c r="C15" s="12" t="s">
        <v>27</v>
      </c>
      <c r="D15" s="11" t="s">
        <v>9</v>
      </c>
      <c r="E15" s="14">
        <v>11000</v>
      </c>
      <c r="F15" s="13">
        <v>9</v>
      </c>
      <c r="G15" s="13">
        <v>30</v>
      </c>
      <c r="H15" s="13">
        <v>3</v>
      </c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>
        <f t="shared" si="0"/>
        <v>36</v>
      </c>
      <c r="Z15" s="20">
        <f t="shared" si="1"/>
        <v>396000</v>
      </c>
    </row>
    <row r="16" spans="1:26">
      <c r="A16" s="11"/>
      <c r="B16" s="11" t="s">
        <v>28</v>
      </c>
      <c r="C16" s="12" t="s">
        <v>29</v>
      </c>
      <c r="D16" s="11" t="s">
        <v>9</v>
      </c>
      <c r="E16" s="14">
        <v>9000</v>
      </c>
      <c r="F16" s="13">
        <v>16</v>
      </c>
      <c r="G16" s="13"/>
      <c r="H16" s="13">
        <v>3</v>
      </c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>
        <f t="shared" si="0"/>
        <v>13</v>
      </c>
      <c r="Z16" s="20">
        <f t="shared" si="1"/>
        <v>117000</v>
      </c>
    </row>
    <row r="17" spans="1:26">
      <c r="A17" s="11"/>
      <c r="B17" s="11" t="s">
        <v>30</v>
      </c>
      <c r="C17" s="12" t="s">
        <v>31</v>
      </c>
      <c r="D17" s="11" t="s">
        <v>32</v>
      </c>
      <c r="E17" s="14">
        <v>10000</v>
      </c>
      <c r="F17" s="13">
        <v>0</v>
      </c>
      <c r="G17" s="13">
        <v>5</v>
      </c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>
        <f t="shared" si="0"/>
        <v>5</v>
      </c>
      <c r="Z17" s="20">
        <f t="shared" si="1"/>
        <v>50000</v>
      </c>
    </row>
    <row r="18" spans="1:26">
      <c r="A18" s="11"/>
      <c r="B18" s="11" t="s">
        <v>33</v>
      </c>
      <c r="C18" s="12" t="s">
        <v>34</v>
      </c>
      <c r="D18" s="11" t="s">
        <v>9</v>
      </c>
      <c r="E18" s="14">
        <v>5000</v>
      </c>
      <c r="F18" s="13">
        <v>4</v>
      </c>
      <c r="G18" s="13">
        <v>30</v>
      </c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>
        <f t="shared" si="0"/>
        <v>34</v>
      </c>
      <c r="Z18" s="20">
        <f t="shared" si="1"/>
        <v>170000</v>
      </c>
    </row>
    <row r="19" spans="1:26">
      <c r="A19" s="11"/>
      <c r="B19" s="11" t="s">
        <v>35</v>
      </c>
      <c r="C19" s="12" t="s">
        <v>36</v>
      </c>
      <c r="D19" s="11" t="s">
        <v>9</v>
      </c>
      <c r="E19" s="14">
        <v>150000</v>
      </c>
      <c r="F19" s="13">
        <v>1</v>
      </c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>
        <f t="shared" si="0"/>
        <v>1</v>
      </c>
      <c r="Z19" s="20">
        <f t="shared" si="1"/>
        <v>150000</v>
      </c>
    </row>
    <row r="20" spans="1:26">
      <c r="A20" s="11"/>
      <c r="B20" s="11" t="s">
        <v>37</v>
      </c>
      <c r="C20" s="12" t="s">
        <v>38</v>
      </c>
      <c r="D20" s="11" t="s">
        <v>9</v>
      </c>
      <c r="E20" s="14">
        <v>28000</v>
      </c>
      <c r="F20" s="13">
        <v>27</v>
      </c>
      <c r="G20" s="13"/>
      <c r="H20" s="13">
        <v>2</v>
      </c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>
        <f t="shared" si="0"/>
        <v>25</v>
      </c>
      <c r="Z20" s="20">
        <f t="shared" si="1"/>
        <v>700000</v>
      </c>
    </row>
    <row r="21" spans="1:26">
      <c r="A21" s="11"/>
      <c r="B21" s="11" t="s">
        <v>39</v>
      </c>
      <c r="C21" s="12" t="s">
        <v>40</v>
      </c>
      <c r="D21" s="11" t="s">
        <v>9</v>
      </c>
      <c r="E21" s="14">
        <v>20000</v>
      </c>
      <c r="F21" s="13">
        <v>4</v>
      </c>
      <c r="G21" s="13"/>
      <c r="H21" s="13">
        <v>1</v>
      </c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>
        <f t="shared" si="0"/>
        <v>3</v>
      </c>
      <c r="Z21" s="20">
        <f t="shared" si="1"/>
        <v>60000</v>
      </c>
    </row>
    <row r="22" spans="1:26">
      <c r="A22" s="11"/>
      <c r="B22" s="11" t="s">
        <v>41</v>
      </c>
      <c r="C22" s="12" t="s">
        <v>42</v>
      </c>
      <c r="D22" s="11" t="s">
        <v>9</v>
      </c>
      <c r="E22" s="14">
        <v>38000</v>
      </c>
      <c r="F22" s="13">
        <v>3</v>
      </c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>
        <f t="shared" si="0"/>
        <v>3</v>
      </c>
      <c r="Z22" s="20">
        <f t="shared" si="1"/>
        <v>114000</v>
      </c>
    </row>
    <row r="23" spans="1:26">
      <c r="A23" s="11"/>
      <c r="B23" s="11" t="s">
        <v>43</v>
      </c>
      <c r="C23" s="12" t="s">
        <v>44</v>
      </c>
      <c r="D23" s="11" t="s">
        <v>9</v>
      </c>
      <c r="E23" s="14">
        <v>62000</v>
      </c>
      <c r="F23" s="13">
        <v>4</v>
      </c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>
        <f t="shared" si="0"/>
        <v>4</v>
      </c>
      <c r="Z23" s="20">
        <f t="shared" si="1"/>
        <v>248000</v>
      </c>
    </row>
    <row r="24" spans="1:26">
      <c r="A24" s="11"/>
      <c r="B24" s="11" t="s">
        <v>45</v>
      </c>
      <c r="C24" s="12" t="s">
        <v>46</v>
      </c>
      <c r="D24" s="11" t="s">
        <v>9</v>
      </c>
      <c r="E24" s="14">
        <v>10000</v>
      </c>
      <c r="F24" s="13">
        <v>1</v>
      </c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>
        <f t="shared" si="0"/>
        <v>1</v>
      </c>
      <c r="Z24" s="20">
        <f t="shared" si="1"/>
        <v>10000</v>
      </c>
    </row>
    <row r="25" spans="1:26">
      <c r="A25" s="11"/>
      <c r="B25" s="11" t="s">
        <v>47</v>
      </c>
      <c r="C25" s="12" t="s">
        <v>48</v>
      </c>
      <c r="D25" s="11" t="s">
        <v>49</v>
      </c>
      <c r="E25" s="14">
        <v>12000</v>
      </c>
      <c r="F25" s="13">
        <v>1</v>
      </c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>
        <f t="shared" si="0"/>
        <v>1</v>
      </c>
      <c r="Z25" s="20">
        <f t="shared" si="1"/>
        <v>12000</v>
      </c>
    </row>
    <row r="26" spans="1:26">
      <c r="A26" s="11"/>
      <c r="B26" s="11" t="s">
        <v>50</v>
      </c>
      <c r="C26" s="12" t="s">
        <v>51</v>
      </c>
      <c r="D26" s="11" t="s">
        <v>49</v>
      </c>
      <c r="E26" s="14">
        <v>91000</v>
      </c>
      <c r="F26" s="13">
        <v>12</v>
      </c>
      <c r="G26" s="13"/>
      <c r="H26" s="13">
        <v>2</v>
      </c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>
        <f t="shared" si="0"/>
        <v>10</v>
      </c>
      <c r="Z26" s="20">
        <f t="shared" si="1"/>
        <v>910000</v>
      </c>
    </row>
    <row r="27" spans="1:26">
      <c r="A27" s="11"/>
      <c r="B27" s="11" t="s">
        <v>52</v>
      </c>
      <c r="C27" s="12" t="s">
        <v>53</v>
      </c>
      <c r="D27" s="11" t="s">
        <v>49</v>
      </c>
      <c r="E27" s="14">
        <v>52000</v>
      </c>
      <c r="F27" s="13">
        <v>5</v>
      </c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>
        <f t="shared" si="0"/>
        <v>5</v>
      </c>
      <c r="Z27" s="20">
        <f t="shared" si="1"/>
        <v>260000</v>
      </c>
    </row>
    <row r="28" spans="1:26">
      <c r="A28" s="11"/>
      <c r="B28" s="11" t="s">
        <v>54</v>
      </c>
      <c r="C28" s="12" t="s">
        <v>55</v>
      </c>
      <c r="D28" s="11" t="s">
        <v>49</v>
      </c>
      <c r="E28" s="14">
        <v>40000</v>
      </c>
      <c r="F28" s="13">
        <v>2</v>
      </c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>
        <f t="shared" si="0"/>
        <v>2</v>
      </c>
      <c r="Z28" s="20">
        <f t="shared" si="1"/>
        <v>80000</v>
      </c>
    </row>
    <row r="29" spans="1:26">
      <c r="A29" s="11"/>
      <c r="B29" s="11" t="s">
        <v>56</v>
      </c>
      <c r="C29" s="12" t="s">
        <v>57</v>
      </c>
      <c r="D29" s="11" t="s">
        <v>49</v>
      </c>
      <c r="E29" s="14">
        <v>0</v>
      </c>
      <c r="F29" s="13">
        <v>6</v>
      </c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>
        <f t="shared" si="0"/>
        <v>6</v>
      </c>
      <c r="Z29" s="20">
        <f t="shared" si="1"/>
        <v>0</v>
      </c>
    </row>
    <row r="30" spans="1:26">
      <c r="A30" s="11"/>
      <c r="B30" s="11" t="s">
        <v>58</v>
      </c>
      <c r="C30" s="12" t="s">
        <v>59</v>
      </c>
      <c r="D30" s="11" t="s">
        <v>49</v>
      </c>
      <c r="E30" s="14">
        <v>47000</v>
      </c>
      <c r="F30" s="13">
        <v>2</v>
      </c>
      <c r="G30" s="13">
        <v>24</v>
      </c>
      <c r="H30" s="13">
        <v>1</v>
      </c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>
        <f t="shared" si="0"/>
        <v>25</v>
      </c>
      <c r="Z30" s="20">
        <f t="shared" si="1"/>
        <v>1175000</v>
      </c>
    </row>
    <row r="31" spans="1:26">
      <c r="A31" s="11"/>
      <c r="B31" s="11" t="s">
        <v>60</v>
      </c>
      <c r="C31" s="12" t="s">
        <v>61</v>
      </c>
      <c r="D31" s="11" t="s">
        <v>49</v>
      </c>
      <c r="E31" s="14">
        <v>0</v>
      </c>
      <c r="F31" s="13">
        <v>5</v>
      </c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>
        <f t="shared" si="0"/>
        <v>5</v>
      </c>
      <c r="Z31" s="20">
        <f t="shared" si="1"/>
        <v>0</v>
      </c>
    </row>
    <row r="32" spans="1:26">
      <c r="A32" s="11"/>
      <c r="B32" s="11" t="s">
        <v>62</v>
      </c>
      <c r="C32" s="12" t="s">
        <v>63</v>
      </c>
      <c r="D32" s="11" t="s">
        <v>49</v>
      </c>
      <c r="E32" s="14">
        <v>40000</v>
      </c>
      <c r="F32" s="13">
        <v>4</v>
      </c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>
        <f t="shared" si="0"/>
        <v>4</v>
      </c>
      <c r="Z32" s="20">
        <f t="shared" si="1"/>
        <v>160000</v>
      </c>
    </row>
    <row r="33" spans="1:26">
      <c r="A33" s="11"/>
      <c r="B33" s="11" t="s">
        <v>64</v>
      </c>
      <c r="C33" s="12" t="s">
        <v>65</v>
      </c>
      <c r="D33" s="11" t="s">
        <v>49</v>
      </c>
      <c r="E33" s="14">
        <v>60000</v>
      </c>
      <c r="F33" s="13">
        <v>3</v>
      </c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>
        <f t="shared" si="0"/>
        <v>3</v>
      </c>
      <c r="Z33" s="20">
        <f t="shared" si="1"/>
        <v>180000</v>
      </c>
    </row>
    <row r="34" spans="1:26">
      <c r="A34" s="11"/>
      <c r="B34" s="11" t="s">
        <v>66</v>
      </c>
      <c r="C34" s="12" t="s">
        <v>67</v>
      </c>
      <c r="D34" s="11" t="s">
        <v>49</v>
      </c>
      <c r="E34" s="14">
        <v>0</v>
      </c>
      <c r="F34" s="13">
        <v>3</v>
      </c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>
        <f t="shared" si="0"/>
        <v>3</v>
      </c>
      <c r="Z34" s="20">
        <f t="shared" si="1"/>
        <v>0</v>
      </c>
    </row>
    <row r="35" spans="1:26">
      <c r="A35" s="11"/>
      <c r="B35" s="11" t="s">
        <v>68</v>
      </c>
      <c r="C35" s="12" t="s">
        <v>69</v>
      </c>
      <c r="D35" s="11" t="s">
        <v>9</v>
      </c>
      <c r="E35" s="14">
        <v>15000</v>
      </c>
      <c r="F35" s="13">
        <v>3</v>
      </c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>
        <f t="shared" si="0"/>
        <v>3</v>
      </c>
      <c r="Z35" s="20">
        <f t="shared" si="1"/>
        <v>45000</v>
      </c>
    </row>
    <row r="36" spans="1:26">
      <c r="A36" s="11"/>
      <c r="B36" s="11" t="s">
        <v>70</v>
      </c>
      <c r="C36" s="12" t="s">
        <v>71</v>
      </c>
      <c r="D36" s="11" t="s">
        <v>9</v>
      </c>
      <c r="E36" s="14">
        <v>32900</v>
      </c>
      <c r="F36" s="13">
        <v>15</v>
      </c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>
        <f t="shared" si="0"/>
        <v>15</v>
      </c>
      <c r="Z36" s="20">
        <f t="shared" si="1"/>
        <v>493500</v>
      </c>
    </row>
    <row r="37" spans="1:26">
      <c r="A37" s="11"/>
      <c r="B37" s="11" t="s">
        <v>72</v>
      </c>
      <c r="C37" s="12" t="s">
        <v>73</v>
      </c>
      <c r="D37" s="11" t="s">
        <v>9</v>
      </c>
      <c r="E37" s="14">
        <v>22000</v>
      </c>
      <c r="F37" s="13">
        <v>6</v>
      </c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>
        <f t="shared" si="0"/>
        <v>6</v>
      </c>
      <c r="Z37" s="20">
        <f t="shared" si="1"/>
        <v>132000</v>
      </c>
    </row>
    <row r="38" spans="1:26">
      <c r="A38" s="11"/>
      <c r="B38" s="11" t="s">
        <v>74</v>
      </c>
      <c r="C38" s="12" t="s">
        <v>75</v>
      </c>
      <c r="D38" s="11" t="s">
        <v>9</v>
      </c>
      <c r="E38" s="14">
        <v>18000</v>
      </c>
      <c r="F38" s="13">
        <v>6</v>
      </c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>
        <f t="shared" si="0"/>
        <v>6</v>
      </c>
      <c r="Z38" s="20">
        <f t="shared" si="1"/>
        <v>108000</v>
      </c>
    </row>
    <row r="39" spans="1:26">
      <c r="A39" s="11"/>
      <c r="B39" s="11" t="s">
        <v>76</v>
      </c>
      <c r="C39" s="12" t="s">
        <v>77</v>
      </c>
      <c r="D39" s="11" t="s">
        <v>9</v>
      </c>
      <c r="E39" s="14">
        <v>0</v>
      </c>
      <c r="F39" s="13">
        <v>11</v>
      </c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>
        <f t="shared" si="0"/>
        <v>11</v>
      </c>
      <c r="Z39" s="20">
        <f t="shared" si="1"/>
        <v>0</v>
      </c>
    </row>
    <row r="40" spans="1:26">
      <c r="A40" s="11"/>
      <c r="B40" s="11" t="s">
        <v>78</v>
      </c>
      <c r="C40" s="12" t="s">
        <v>79</v>
      </c>
      <c r="D40" s="11" t="s">
        <v>9</v>
      </c>
      <c r="E40" s="14">
        <v>19000</v>
      </c>
      <c r="F40" s="13">
        <v>0</v>
      </c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>
        <f t="shared" si="0"/>
        <v>0</v>
      </c>
      <c r="Z40" s="20">
        <f t="shared" si="1"/>
        <v>0</v>
      </c>
    </row>
    <row r="41" spans="1:26">
      <c r="A41" s="11"/>
      <c r="B41" s="11" t="s">
        <v>80</v>
      </c>
      <c r="C41" s="12" t="s">
        <v>81</v>
      </c>
      <c r="D41" s="11" t="s">
        <v>9</v>
      </c>
      <c r="E41" s="14">
        <v>49000</v>
      </c>
      <c r="F41" s="13">
        <v>3</v>
      </c>
      <c r="G41" s="13"/>
      <c r="H41" s="13">
        <v>1</v>
      </c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>
        <f t="shared" si="0"/>
        <v>2</v>
      </c>
      <c r="Z41" s="20">
        <f t="shared" si="1"/>
        <v>98000</v>
      </c>
    </row>
    <row r="42" spans="1:26">
      <c r="A42" s="11"/>
      <c r="B42" s="11" t="s">
        <v>82</v>
      </c>
      <c r="C42" s="12" t="s">
        <v>83</v>
      </c>
      <c r="D42" s="11" t="s">
        <v>9</v>
      </c>
      <c r="E42" s="14">
        <v>17000</v>
      </c>
      <c r="F42" s="13">
        <v>4</v>
      </c>
      <c r="G42" s="13"/>
      <c r="H42" s="13">
        <v>1</v>
      </c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>
        <f t="shared" si="0"/>
        <v>3</v>
      </c>
      <c r="Z42" s="20">
        <f t="shared" si="1"/>
        <v>51000</v>
      </c>
    </row>
    <row r="43" spans="1:26">
      <c r="A43" s="11"/>
      <c r="B43" s="11" t="s">
        <v>84</v>
      </c>
      <c r="C43" s="12" t="s">
        <v>85</v>
      </c>
      <c r="D43" s="11" t="s">
        <v>9</v>
      </c>
      <c r="E43" s="14">
        <v>34000</v>
      </c>
      <c r="F43" s="13">
        <v>6</v>
      </c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>
        <f t="shared" si="0"/>
        <v>6</v>
      </c>
      <c r="Z43" s="20">
        <f t="shared" si="1"/>
        <v>204000</v>
      </c>
    </row>
    <row r="44" spans="1:26">
      <c r="A44" s="11"/>
      <c r="B44" s="11" t="s">
        <v>86</v>
      </c>
      <c r="C44" s="12" t="s">
        <v>87</v>
      </c>
      <c r="D44" s="11" t="s">
        <v>9</v>
      </c>
      <c r="E44" s="14">
        <v>33000</v>
      </c>
      <c r="F44" s="13">
        <v>0</v>
      </c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>
        <f t="shared" si="0"/>
        <v>0</v>
      </c>
      <c r="Z44" s="20">
        <f t="shared" si="1"/>
        <v>0</v>
      </c>
    </row>
    <row r="45" spans="1:26">
      <c r="A45" s="11"/>
      <c r="B45" s="11" t="s">
        <v>88</v>
      </c>
      <c r="C45" s="12" t="s">
        <v>89</v>
      </c>
      <c r="D45" s="11" t="s">
        <v>9</v>
      </c>
      <c r="E45" s="14">
        <v>33000</v>
      </c>
      <c r="F45" s="13">
        <v>0</v>
      </c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>
        <f t="shared" si="0"/>
        <v>0</v>
      </c>
      <c r="Z45" s="20">
        <f t="shared" si="1"/>
        <v>0</v>
      </c>
    </row>
    <row r="46" spans="1:26">
      <c r="A46" s="11"/>
      <c r="B46" s="11" t="s">
        <v>90</v>
      </c>
      <c r="C46" s="12" t="s">
        <v>91</v>
      </c>
      <c r="D46" s="11" t="s">
        <v>49</v>
      </c>
      <c r="E46" s="14">
        <v>16000</v>
      </c>
      <c r="F46" s="13">
        <v>3</v>
      </c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>
        <f t="shared" si="0"/>
        <v>3</v>
      </c>
      <c r="Z46" s="20">
        <f t="shared" si="1"/>
        <v>48000</v>
      </c>
    </row>
    <row r="47" spans="1:26">
      <c r="A47" s="11"/>
      <c r="B47" s="11" t="s">
        <v>92</v>
      </c>
      <c r="C47" s="12" t="s">
        <v>93</v>
      </c>
      <c r="D47" s="11" t="s">
        <v>49</v>
      </c>
      <c r="E47" s="14">
        <v>28000</v>
      </c>
      <c r="F47" s="13">
        <v>6</v>
      </c>
      <c r="G47" s="13"/>
      <c r="H47" s="13">
        <v>1</v>
      </c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>
        <f t="shared" si="0"/>
        <v>5</v>
      </c>
      <c r="Z47" s="20">
        <f t="shared" si="1"/>
        <v>140000</v>
      </c>
    </row>
    <row r="48" spans="1:26">
      <c r="A48" s="11"/>
      <c r="B48" s="11" t="s">
        <v>94</v>
      </c>
      <c r="C48" s="12" t="s">
        <v>95</v>
      </c>
      <c r="D48" s="11" t="s">
        <v>49</v>
      </c>
      <c r="E48" s="14">
        <v>0</v>
      </c>
      <c r="F48" s="13">
        <v>6</v>
      </c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>
        <f t="shared" si="0"/>
        <v>6</v>
      </c>
      <c r="Z48" s="20">
        <f t="shared" si="1"/>
        <v>0</v>
      </c>
    </row>
    <row r="49" spans="1:26">
      <c r="A49" s="11"/>
      <c r="B49" s="11" t="s">
        <v>96</v>
      </c>
      <c r="C49" s="12" t="s">
        <v>97</v>
      </c>
      <c r="D49" s="11" t="s">
        <v>49</v>
      </c>
      <c r="E49" s="14">
        <v>135000</v>
      </c>
      <c r="F49" s="13">
        <v>1</v>
      </c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>
        <f t="shared" si="0"/>
        <v>1</v>
      </c>
      <c r="Z49" s="20">
        <f t="shared" si="1"/>
        <v>135000</v>
      </c>
    </row>
    <row r="50" spans="1:26">
      <c r="A50" s="11"/>
      <c r="B50" s="11" t="s">
        <v>98</v>
      </c>
      <c r="C50" s="12" t="s">
        <v>99</v>
      </c>
      <c r="D50" s="11" t="s">
        <v>49</v>
      </c>
      <c r="E50" s="14">
        <v>135000</v>
      </c>
      <c r="F50" s="13">
        <v>2</v>
      </c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>
        <f t="shared" si="0"/>
        <v>2</v>
      </c>
      <c r="Z50" s="20">
        <f t="shared" si="1"/>
        <v>270000</v>
      </c>
    </row>
    <row r="51" spans="1:26">
      <c r="A51" s="11"/>
      <c r="B51" s="11" t="s">
        <v>100</v>
      </c>
      <c r="C51" s="12" t="s">
        <v>101</v>
      </c>
      <c r="D51" s="11" t="s">
        <v>49</v>
      </c>
      <c r="E51" s="14">
        <v>135000</v>
      </c>
      <c r="F51" s="13">
        <v>0</v>
      </c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>
        <f t="shared" si="0"/>
        <v>0</v>
      </c>
      <c r="Z51" s="20">
        <f t="shared" si="1"/>
        <v>0</v>
      </c>
    </row>
    <row r="52" spans="1:26">
      <c r="A52" s="11"/>
      <c r="B52" s="11" t="s">
        <v>102</v>
      </c>
      <c r="C52" s="12" t="s">
        <v>103</v>
      </c>
      <c r="D52" s="11" t="s">
        <v>49</v>
      </c>
      <c r="E52" s="14">
        <v>135000</v>
      </c>
      <c r="F52" s="13">
        <v>0</v>
      </c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>
        <f t="shared" si="0"/>
        <v>0</v>
      </c>
      <c r="Z52" s="20">
        <f t="shared" si="1"/>
        <v>0</v>
      </c>
    </row>
    <row r="53" spans="1:26">
      <c r="A53" s="11"/>
      <c r="B53" s="11" t="s">
        <v>104</v>
      </c>
      <c r="C53" s="12" t="s">
        <v>105</v>
      </c>
      <c r="D53" s="11" t="s">
        <v>49</v>
      </c>
      <c r="E53" s="14">
        <v>130000</v>
      </c>
      <c r="F53" s="13">
        <v>1</v>
      </c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>
        <f t="shared" si="0"/>
        <v>1</v>
      </c>
      <c r="Z53" s="20">
        <f t="shared" si="1"/>
        <v>130000</v>
      </c>
    </row>
    <row r="54" spans="1:26">
      <c r="A54" s="11"/>
      <c r="B54" s="11" t="s">
        <v>106</v>
      </c>
      <c r="C54" s="12" t="s">
        <v>107</v>
      </c>
      <c r="D54" s="11" t="s">
        <v>49</v>
      </c>
      <c r="E54" s="14">
        <v>130000</v>
      </c>
      <c r="F54" s="13">
        <v>1</v>
      </c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>
        <f t="shared" si="0"/>
        <v>1</v>
      </c>
      <c r="Z54" s="20">
        <f t="shared" si="1"/>
        <v>130000</v>
      </c>
    </row>
    <row r="55" spans="1:26">
      <c r="A55" s="11"/>
      <c r="B55" s="11" t="s">
        <v>108</v>
      </c>
      <c r="C55" s="12" t="s">
        <v>109</v>
      </c>
      <c r="D55" s="11" t="s">
        <v>49</v>
      </c>
      <c r="E55" s="14">
        <v>130000</v>
      </c>
      <c r="F55" s="13">
        <v>0</v>
      </c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>
        <f t="shared" si="0"/>
        <v>0</v>
      </c>
      <c r="Z55" s="20">
        <f t="shared" si="1"/>
        <v>0</v>
      </c>
    </row>
    <row r="56" spans="1:26">
      <c r="A56" s="11"/>
      <c r="B56" s="11" t="s">
        <v>110</v>
      </c>
      <c r="C56" s="12" t="s">
        <v>111</v>
      </c>
      <c r="D56" s="11" t="s">
        <v>49</v>
      </c>
      <c r="E56" s="14">
        <v>130000</v>
      </c>
      <c r="F56" s="13">
        <v>0</v>
      </c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>
        <f t="shared" si="0"/>
        <v>0</v>
      </c>
      <c r="Z56" s="20">
        <f t="shared" si="1"/>
        <v>0</v>
      </c>
    </row>
    <row r="57" spans="1:26">
      <c r="A57" s="11"/>
      <c r="B57" s="11" t="s">
        <v>112</v>
      </c>
      <c r="C57" s="12" t="s">
        <v>113</v>
      </c>
      <c r="D57" s="11" t="s">
        <v>49</v>
      </c>
      <c r="E57" s="14">
        <v>119000</v>
      </c>
      <c r="F57" s="13">
        <v>2</v>
      </c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>
        <f t="shared" si="0"/>
        <v>2</v>
      </c>
      <c r="Z57" s="20">
        <f t="shared" si="1"/>
        <v>238000</v>
      </c>
    </row>
    <row r="58" spans="1:26">
      <c r="A58" s="11"/>
      <c r="B58" s="11" t="s">
        <v>114</v>
      </c>
      <c r="C58" s="12" t="s">
        <v>115</v>
      </c>
      <c r="D58" s="11" t="s">
        <v>49</v>
      </c>
      <c r="E58" s="14">
        <v>119000</v>
      </c>
      <c r="F58" s="13">
        <v>0</v>
      </c>
      <c r="G58" s="13">
        <v>3</v>
      </c>
      <c r="H58" s="13">
        <v>1</v>
      </c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>
        <f t="shared" si="0"/>
        <v>2</v>
      </c>
      <c r="Z58" s="20">
        <f t="shared" si="1"/>
        <v>238000</v>
      </c>
    </row>
    <row r="59" spans="1:26">
      <c r="A59" s="11"/>
      <c r="B59" s="11" t="s">
        <v>116</v>
      </c>
      <c r="C59" s="12" t="s">
        <v>117</v>
      </c>
      <c r="D59" s="11" t="s">
        <v>9</v>
      </c>
      <c r="E59" s="14">
        <v>315000</v>
      </c>
      <c r="F59" s="13">
        <v>0</v>
      </c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>
        <f t="shared" si="0"/>
        <v>0</v>
      </c>
      <c r="Z59" s="20">
        <f t="shared" si="1"/>
        <v>0</v>
      </c>
    </row>
    <row r="60" spans="1:26">
      <c r="A60" s="11"/>
      <c r="B60" s="11" t="s">
        <v>118</v>
      </c>
      <c r="C60" s="12" t="s">
        <v>119</v>
      </c>
      <c r="D60" s="11" t="s">
        <v>9</v>
      </c>
      <c r="E60" s="14">
        <v>178000</v>
      </c>
      <c r="F60" s="13">
        <v>1</v>
      </c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>
        <f t="shared" si="0"/>
        <v>1</v>
      </c>
      <c r="Z60" s="20">
        <f t="shared" si="1"/>
        <v>178000</v>
      </c>
    </row>
    <row r="61" spans="1:26">
      <c r="A61" s="11"/>
      <c r="B61" s="11" t="s">
        <v>120</v>
      </c>
      <c r="C61" s="12" t="s">
        <v>121</v>
      </c>
      <c r="D61" s="11" t="s">
        <v>9</v>
      </c>
      <c r="E61" s="14">
        <v>178000</v>
      </c>
      <c r="F61" s="13">
        <v>1</v>
      </c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>
        <f t="shared" si="0"/>
        <v>1</v>
      </c>
      <c r="Z61" s="20">
        <f t="shared" si="1"/>
        <v>178000</v>
      </c>
    </row>
    <row r="62" spans="1:26">
      <c r="A62" s="11"/>
      <c r="B62" s="11" t="s">
        <v>122</v>
      </c>
      <c r="C62" s="12" t="s">
        <v>123</v>
      </c>
      <c r="D62" s="11" t="s">
        <v>9</v>
      </c>
      <c r="E62" s="14">
        <v>92000</v>
      </c>
      <c r="F62" s="13">
        <v>0</v>
      </c>
      <c r="G62" s="13">
        <v>2</v>
      </c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>
        <f t="shared" si="0"/>
        <v>2</v>
      </c>
      <c r="Z62" s="20">
        <f t="shared" si="1"/>
        <v>184000</v>
      </c>
    </row>
    <row r="63" spans="1:26">
      <c r="A63" s="11"/>
      <c r="B63" s="11" t="s">
        <v>124</v>
      </c>
      <c r="C63" s="12" t="s">
        <v>125</v>
      </c>
      <c r="D63" s="11" t="s">
        <v>32</v>
      </c>
      <c r="E63" s="14">
        <v>27000</v>
      </c>
      <c r="F63" s="13">
        <v>0</v>
      </c>
      <c r="G63" s="13">
        <v>5</v>
      </c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>
        <f t="shared" si="0"/>
        <v>5</v>
      </c>
      <c r="Z63" s="20">
        <f t="shared" si="1"/>
        <v>135000</v>
      </c>
    </row>
    <row r="64" spans="1:26">
      <c r="A64" s="11"/>
      <c r="B64" s="11" t="s">
        <v>126</v>
      </c>
      <c r="C64" s="12" t="s">
        <v>127</v>
      </c>
      <c r="D64" s="11" t="s">
        <v>9</v>
      </c>
      <c r="E64" s="14">
        <v>26000</v>
      </c>
      <c r="F64" s="13">
        <v>2</v>
      </c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>
        <f t="shared" si="0"/>
        <v>2</v>
      </c>
      <c r="Z64" s="20">
        <f t="shared" si="1"/>
        <v>52000</v>
      </c>
    </row>
    <row r="65" spans="1:26">
      <c r="A65" s="11"/>
      <c r="B65" s="11" t="s">
        <v>128</v>
      </c>
      <c r="C65" s="12" t="s">
        <v>129</v>
      </c>
      <c r="D65" s="11" t="s">
        <v>9</v>
      </c>
      <c r="E65" s="14">
        <v>26000</v>
      </c>
      <c r="F65" s="13">
        <v>3</v>
      </c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>
        <f t="shared" si="0"/>
        <v>3</v>
      </c>
      <c r="Z65" s="20">
        <f t="shared" si="1"/>
        <v>78000</v>
      </c>
    </row>
    <row r="66" spans="1:26">
      <c r="A66" s="11"/>
      <c r="B66" s="11" t="s">
        <v>130</v>
      </c>
      <c r="C66" s="12" t="s">
        <v>131</v>
      </c>
      <c r="D66" s="11" t="s">
        <v>9</v>
      </c>
      <c r="E66" s="14">
        <v>4000</v>
      </c>
      <c r="F66" s="13">
        <v>29</v>
      </c>
      <c r="G66" s="13"/>
      <c r="H66" s="13">
        <v>10</v>
      </c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>
        <f t="shared" si="0"/>
        <v>19</v>
      </c>
      <c r="Z66" s="20">
        <f t="shared" si="1"/>
        <v>76000</v>
      </c>
    </row>
    <row r="67" spans="1:26">
      <c r="A67" s="11"/>
      <c r="B67" s="11" t="s">
        <v>132</v>
      </c>
      <c r="C67" s="12" t="s">
        <v>133</v>
      </c>
      <c r="D67" s="11" t="s">
        <v>9</v>
      </c>
      <c r="E67" s="14">
        <v>0</v>
      </c>
      <c r="F67" s="13">
        <v>0</v>
      </c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>
        <f t="shared" si="0"/>
        <v>0</v>
      </c>
      <c r="Z67" s="20">
        <f t="shared" si="1"/>
        <v>0</v>
      </c>
    </row>
    <row r="68" spans="1:26">
      <c r="A68" s="11"/>
      <c r="B68" s="11" t="s">
        <v>134</v>
      </c>
      <c r="C68" s="12" t="s">
        <v>135</v>
      </c>
      <c r="D68" s="11" t="s">
        <v>9</v>
      </c>
      <c r="E68" s="14">
        <v>31000</v>
      </c>
      <c r="F68" s="13">
        <v>3</v>
      </c>
      <c r="G68" s="13">
        <v>3</v>
      </c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>
        <f t="shared" si="0"/>
        <v>6</v>
      </c>
      <c r="Z68" s="20">
        <f t="shared" si="1"/>
        <v>186000</v>
      </c>
    </row>
    <row r="69" spans="1:26">
      <c r="A69" s="11"/>
      <c r="B69" s="11" t="s">
        <v>136</v>
      </c>
      <c r="C69" s="12" t="s">
        <v>137</v>
      </c>
      <c r="D69" s="11" t="s">
        <v>9</v>
      </c>
      <c r="E69" s="14">
        <v>0</v>
      </c>
      <c r="F69" s="13">
        <v>4</v>
      </c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>
        <f t="shared" si="0"/>
        <v>4</v>
      </c>
      <c r="Z69" s="20">
        <f t="shared" si="1"/>
        <v>0</v>
      </c>
    </row>
    <row r="70" spans="1:26">
      <c r="A70" s="11"/>
      <c r="B70" s="11" t="s">
        <v>138</v>
      </c>
      <c r="C70" s="12" t="s">
        <v>139</v>
      </c>
      <c r="D70" s="11" t="s">
        <v>9</v>
      </c>
      <c r="E70" s="14">
        <v>118000</v>
      </c>
      <c r="F70" s="13">
        <v>1</v>
      </c>
      <c r="G70" s="13"/>
      <c r="H70" s="13">
        <v>1</v>
      </c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>
        <f t="shared" ref="Y70:Y106" si="2">F70+G70-H70+I70-J70+K70-L70+M70-N70+O70-P70+Q70-R70+S70-T70+U70-V70+W70-X70</f>
        <v>0</v>
      </c>
      <c r="Z70" s="20">
        <f t="shared" ref="Z70:Z106" si="3">E70*Y70</f>
        <v>0</v>
      </c>
    </row>
    <row r="71" spans="1:26">
      <c r="A71" s="11"/>
      <c r="B71" s="11" t="s">
        <v>140</v>
      </c>
      <c r="C71" s="12" t="s">
        <v>141</v>
      </c>
      <c r="D71" s="11" t="s">
        <v>9</v>
      </c>
      <c r="E71" s="14">
        <v>0</v>
      </c>
      <c r="F71" s="13">
        <v>0</v>
      </c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>
        <f t="shared" si="2"/>
        <v>0</v>
      </c>
      <c r="Z71" s="20">
        <f t="shared" si="3"/>
        <v>0</v>
      </c>
    </row>
    <row r="72" spans="1:26">
      <c r="A72" s="11"/>
      <c r="B72" s="11" t="s">
        <v>142</v>
      </c>
      <c r="C72" s="12" t="s">
        <v>143</v>
      </c>
      <c r="D72" s="11" t="s">
        <v>9</v>
      </c>
      <c r="E72" s="14">
        <v>60000</v>
      </c>
      <c r="F72" s="13">
        <v>5</v>
      </c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>
        <f t="shared" si="2"/>
        <v>5</v>
      </c>
      <c r="Z72" s="20">
        <f t="shared" si="3"/>
        <v>300000</v>
      </c>
    </row>
    <row r="73" spans="1:26">
      <c r="A73" s="11"/>
      <c r="B73" s="11" t="s">
        <v>144</v>
      </c>
      <c r="C73" s="12" t="s">
        <v>145</v>
      </c>
      <c r="D73" s="11" t="s">
        <v>9</v>
      </c>
      <c r="E73" s="14">
        <v>0</v>
      </c>
      <c r="F73" s="13">
        <v>2</v>
      </c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>
        <f t="shared" si="2"/>
        <v>2</v>
      </c>
      <c r="Z73" s="20">
        <f t="shared" si="3"/>
        <v>0</v>
      </c>
    </row>
    <row r="74" spans="1:26">
      <c r="A74" s="11"/>
      <c r="B74" s="11" t="s">
        <v>146</v>
      </c>
      <c r="C74" s="12" t="s">
        <v>147</v>
      </c>
      <c r="D74" s="11" t="s">
        <v>9</v>
      </c>
      <c r="E74" s="14">
        <v>12000</v>
      </c>
      <c r="F74" s="13">
        <v>35</v>
      </c>
      <c r="G74" s="13"/>
      <c r="H74" s="13">
        <v>4</v>
      </c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>
        <f t="shared" si="2"/>
        <v>31</v>
      </c>
      <c r="Z74" s="20">
        <f t="shared" si="3"/>
        <v>372000</v>
      </c>
    </row>
    <row r="75" spans="1:26">
      <c r="A75" s="11"/>
      <c r="B75" s="11" t="s">
        <v>148</v>
      </c>
      <c r="C75" s="12" t="s">
        <v>149</v>
      </c>
      <c r="D75" s="11" t="s">
        <v>9</v>
      </c>
      <c r="E75" s="14">
        <v>0</v>
      </c>
      <c r="F75" s="13">
        <v>4</v>
      </c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>
        <f t="shared" si="2"/>
        <v>4</v>
      </c>
      <c r="Z75" s="20">
        <f t="shared" si="3"/>
        <v>0</v>
      </c>
    </row>
    <row r="76" spans="1:26">
      <c r="A76" s="11"/>
      <c r="B76" s="11" t="s">
        <v>150</v>
      </c>
      <c r="C76" s="12" t="s">
        <v>151</v>
      </c>
      <c r="D76" s="11" t="s">
        <v>9</v>
      </c>
      <c r="E76" s="14">
        <v>0</v>
      </c>
      <c r="F76" s="13">
        <v>0</v>
      </c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>
        <f t="shared" si="2"/>
        <v>0</v>
      </c>
      <c r="Z76" s="20">
        <f t="shared" si="3"/>
        <v>0</v>
      </c>
    </row>
    <row r="77" spans="1:26">
      <c r="A77" s="11"/>
      <c r="B77" s="11" t="s">
        <v>152</v>
      </c>
      <c r="C77" s="12" t="s">
        <v>153</v>
      </c>
      <c r="D77" s="11" t="s">
        <v>9</v>
      </c>
      <c r="E77" s="14">
        <v>0</v>
      </c>
      <c r="F77" s="13">
        <v>0</v>
      </c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>
        <f t="shared" si="2"/>
        <v>0</v>
      </c>
      <c r="Z77" s="20">
        <f t="shared" si="3"/>
        <v>0</v>
      </c>
    </row>
    <row r="78" spans="1:26">
      <c r="A78" s="15"/>
      <c r="B78" s="15" t="s">
        <v>154</v>
      </c>
      <c r="C78" s="12" t="s">
        <v>155</v>
      </c>
      <c r="D78" s="11" t="s">
        <v>9</v>
      </c>
      <c r="E78" s="14">
        <v>0</v>
      </c>
      <c r="F78" s="13">
        <v>0</v>
      </c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>
        <f t="shared" si="2"/>
        <v>0</v>
      </c>
      <c r="Z78" s="20">
        <f t="shared" si="3"/>
        <v>0</v>
      </c>
    </row>
    <row r="79" spans="1:26">
      <c r="A79" s="11"/>
      <c r="B79" s="11" t="s">
        <v>156</v>
      </c>
      <c r="C79" s="16" t="s">
        <v>157</v>
      </c>
      <c r="D79" s="11" t="s">
        <v>9</v>
      </c>
      <c r="E79" s="14">
        <v>0</v>
      </c>
      <c r="F79" s="13">
        <v>0</v>
      </c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>
        <f t="shared" si="2"/>
        <v>0</v>
      </c>
      <c r="Z79" s="20">
        <f t="shared" si="3"/>
        <v>0</v>
      </c>
    </row>
    <row r="80" spans="1:26">
      <c r="A80" s="15"/>
      <c r="B80" s="15" t="s">
        <v>158</v>
      </c>
      <c r="C80" s="12" t="s">
        <v>159</v>
      </c>
      <c r="D80" s="11" t="s">
        <v>9</v>
      </c>
      <c r="E80" s="14">
        <v>0</v>
      </c>
      <c r="F80" s="13">
        <v>3</v>
      </c>
      <c r="G80" s="13"/>
      <c r="H80" s="13">
        <v>1</v>
      </c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>
        <f t="shared" si="2"/>
        <v>2</v>
      </c>
      <c r="Z80" s="20">
        <f t="shared" si="3"/>
        <v>0</v>
      </c>
    </row>
    <row r="81" spans="1:26">
      <c r="A81" s="11"/>
      <c r="B81" s="11" t="s">
        <v>160</v>
      </c>
      <c r="C81" s="12" t="s">
        <v>161</v>
      </c>
      <c r="D81" s="11" t="s">
        <v>32</v>
      </c>
      <c r="E81" s="14">
        <v>90000</v>
      </c>
      <c r="F81" s="13">
        <v>1</v>
      </c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>
        <f t="shared" si="2"/>
        <v>1</v>
      </c>
      <c r="Z81" s="20">
        <f t="shared" si="3"/>
        <v>90000</v>
      </c>
    </row>
    <row r="82" spans="1:26">
      <c r="A82" s="15"/>
      <c r="B82" s="15" t="s">
        <v>162</v>
      </c>
      <c r="C82" s="12" t="s">
        <v>163</v>
      </c>
      <c r="D82" s="11" t="s">
        <v>9</v>
      </c>
      <c r="E82" s="14">
        <v>0</v>
      </c>
      <c r="F82" s="13">
        <v>28</v>
      </c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>
        <f t="shared" si="2"/>
        <v>28</v>
      </c>
      <c r="Z82" s="20">
        <f t="shared" si="3"/>
        <v>0</v>
      </c>
    </row>
    <row r="83" spans="1:26">
      <c r="A83" s="11"/>
      <c r="B83" s="11" t="s">
        <v>164</v>
      </c>
      <c r="C83" s="12" t="s">
        <v>165</v>
      </c>
      <c r="D83" s="11" t="s">
        <v>9</v>
      </c>
      <c r="E83" s="14">
        <v>43000</v>
      </c>
      <c r="F83" s="13">
        <v>7</v>
      </c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>
        <f t="shared" si="2"/>
        <v>7</v>
      </c>
      <c r="Z83" s="20">
        <f t="shared" si="3"/>
        <v>301000</v>
      </c>
    </row>
    <row r="84" spans="1:26">
      <c r="A84" s="15"/>
      <c r="B84" s="15" t="s">
        <v>167</v>
      </c>
      <c r="C84" s="12" t="s">
        <v>168</v>
      </c>
      <c r="D84" s="11" t="s">
        <v>9</v>
      </c>
      <c r="E84" s="14">
        <v>34000</v>
      </c>
      <c r="F84" s="13">
        <v>6</v>
      </c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>
        <f t="shared" si="2"/>
        <v>6</v>
      </c>
      <c r="Z84" s="20">
        <f t="shared" si="3"/>
        <v>204000</v>
      </c>
    </row>
    <row r="85" spans="1:26">
      <c r="A85" s="11"/>
      <c r="B85" s="11" t="s">
        <v>169</v>
      </c>
      <c r="C85" s="12" t="s">
        <v>170</v>
      </c>
      <c r="D85" s="11" t="s">
        <v>9</v>
      </c>
      <c r="E85" s="14">
        <v>0</v>
      </c>
      <c r="F85" s="13">
        <v>21</v>
      </c>
      <c r="G85" s="13"/>
      <c r="H85" s="13">
        <v>3</v>
      </c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>
        <v>0</v>
      </c>
      <c r="V85" s="13">
        <v>0</v>
      </c>
      <c r="W85" s="13"/>
      <c r="X85" s="13"/>
      <c r="Y85" s="13">
        <f t="shared" si="2"/>
        <v>18</v>
      </c>
      <c r="Z85" s="20">
        <f t="shared" si="3"/>
        <v>0</v>
      </c>
    </row>
    <row r="86" spans="1:26">
      <c r="A86" s="15"/>
      <c r="B86" s="15" t="s">
        <v>171</v>
      </c>
      <c r="C86" s="12" t="s">
        <v>172</v>
      </c>
      <c r="D86" s="11" t="s">
        <v>9</v>
      </c>
      <c r="E86" s="14">
        <v>0</v>
      </c>
      <c r="F86" s="13">
        <v>48</v>
      </c>
      <c r="G86" s="13"/>
      <c r="H86" s="13">
        <v>3</v>
      </c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>
        <v>0</v>
      </c>
      <c r="V86" s="13">
        <v>0</v>
      </c>
      <c r="W86" s="13"/>
      <c r="X86" s="13"/>
      <c r="Y86" s="13">
        <f t="shared" si="2"/>
        <v>45</v>
      </c>
      <c r="Z86" s="20">
        <f t="shared" si="3"/>
        <v>0</v>
      </c>
    </row>
    <row r="87" spans="1:26">
      <c r="A87" s="11"/>
      <c r="B87" s="11" t="s">
        <v>173</v>
      </c>
      <c r="C87" s="12" t="s">
        <v>174</v>
      </c>
      <c r="D87" s="11" t="s">
        <v>9</v>
      </c>
      <c r="E87" s="14">
        <v>0</v>
      </c>
      <c r="F87" s="13">
        <v>72</v>
      </c>
      <c r="G87" s="13"/>
      <c r="H87" s="13">
        <v>5</v>
      </c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>
        <v>0</v>
      </c>
      <c r="V87" s="13"/>
      <c r="W87" s="13"/>
      <c r="X87" s="13"/>
      <c r="Y87" s="13">
        <f t="shared" si="2"/>
        <v>67</v>
      </c>
      <c r="Z87" s="20">
        <f t="shared" si="3"/>
        <v>0</v>
      </c>
    </row>
    <row r="88" spans="1:26">
      <c r="A88" s="15"/>
      <c r="B88" s="15" t="s">
        <v>175</v>
      </c>
      <c r="C88" s="12" t="s">
        <v>176</v>
      </c>
      <c r="D88" s="11" t="s">
        <v>9</v>
      </c>
      <c r="E88" s="14">
        <v>0</v>
      </c>
      <c r="F88" s="13">
        <v>0</v>
      </c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>
        <f t="shared" si="2"/>
        <v>0</v>
      </c>
      <c r="Z88" s="20">
        <f t="shared" si="3"/>
        <v>0</v>
      </c>
    </row>
    <row r="89" spans="1:26">
      <c r="A89" s="11"/>
      <c r="B89" s="11" t="s">
        <v>177</v>
      </c>
      <c r="C89" s="12" t="s">
        <v>178</v>
      </c>
      <c r="D89" s="11" t="s">
        <v>9</v>
      </c>
      <c r="E89" s="14">
        <v>0</v>
      </c>
      <c r="F89" s="13">
        <v>24</v>
      </c>
      <c r="G89" s="13"/>
      <c r="H89" s="13">
        <v>3</v>
      </c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>
        <v>0</v>
      </c>
      <c r="V89" s="13">
        <v>0</v>
      </c>
      <c r="W89" s="13"/>
      <c r="X89" s="13"/>
      <c r="Y89" s="13">
        <f t="shared" si="2"/>
        <v>21</v>
      </c>
      <c r="Z89" s="20">
        <f t="shared" si="3"/>
        <v>0</v>
      </c>
    </row>
    <row r="90" spans="1:26">
      <c r="A90" s="15"/>
      <c r="B90" s="15" t="s">
        <v>179</v>
      </c>
      <c r="C90" s="12" t="s">
        <v>180</v>
      </c>
      <c r="D90" s="11" t="s">
        <v>9</v>
      </c>
      <c r="E90" s="14">
        <v>0</v>
      </c>
      <c r="F90" s="13">
        <v>60</v>
      </c>
      <c r="G90" s="13"/>
      <c r="H90" s="13">
        <v>3</v>
      </c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>
        <v>0</v>
      </c>
      <c r="V90" s="13"/>
      <c r="W90" s="13"/>
      <c r="X90" s="13"/>
      <c r="Y90" s="13">
        <f t="shared" si="2"/>
        <v>57</v>
      </c>
      <c r="Z90" s="20">
        <f t="shared" si="3"/>
        <v>0</v>
      </c>
    </row>
    <row r="91" spans="1:26">
      <c r="A91" s="11"/>
      <c r="B91" s="11" t="s">
        <v>181</v>
      </c>
      <c r="C91" s="12" t="s">
        <v>182</v>
      </c>
      <c r="D91" s="11" t="s">
        <v>9</v>
      </c>
      <c r="E91" s="14">
        <v>0</v>
      </c>
      <c r="F91" s="13">
        <v>0</v>
      </c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>
        <f t="shared" si="2"/>
        <v>0</v>
      </c>
      <c r="Z91" s="20">
        <f t="shared" si="3"/>
        <v>0</v>
      </c>
    </row>
    <row r="92" spans="1:26">
      <c r="A92" s="15"/>
      <c r="B92" s="15" t="s">
        <v>183</v>
      </c>
      <c r="C92" s="12" t="s">
        <v>184</v>
      </c>
      <c r="D92" s="11" t="s">
        <v>9</v>
      </c>
      <c r="E92" s="14">
        <v>0</v>
      </c>
      <c r="F92" s="13">
        <v>4</v>
      </c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>
        <f t="shared" si="2"/>
        <v>4</v>
      </c>
      <c r="Z92" s="20">
        <f t="shared" si="3"/>
        <v>0</v>
      </c>
    </row>
    <row r="93" spans="1:26">
      <c r="A93" s="11"/>
      <c r="B93" s="11" t="s">
        <v>185</v>
      </c>
      <c r="C93" s="12" t="s">
        <v>186</v>
      </c>
      <c r="D93" s="11" t="s">
        <v>9</v>
      </c>
      <c r="E93" s="14">
        <v>0</v>
      </c>
      <c r="F93" s="13">
        <v>38</v>
      </c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>
        <f t="shared" si="2"/>
        <v>38</v>
      </c>
      <c r="Z93" s="20">
        <f t="shared" si="3"/>
        <v>0</v>
      </c>
    </row>
    <row r="94" spans="1:26">
      <c r="A94" s="15"/>
      <c r="B94" s="15" t="s">
        <v>187</v>
      </c>
      <c r="C94" s="12" t="s">
        <v>188</v>
      </c>
      <c r="D94" s="11" t="s">
        <v>9</v>
      </c>
      <c r="E94" s="14">
        <v>0</v>
      </c>
      <c r="F94" s="13">
        <v>65</v>
      </c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>
        <f t="shared" si="2"/>
        <v>65</v>
      </c>
      <c r="Z94" s="20">
        <f t="shared" si="3"/>
        <v>0</v>
      </c>
    </row>
    <row r="95" spans="1:26">
      <c r="A95" s="11"/>
      <c r="B95" s="11" t="s">
        <v>189</v>
      </c>
      <c r="C95" s="12" t="s">
        <v>190</v>
      </c>
      <c r="D95" s="11" t="s">
        <v>9</v>
      </c>
      <c r="E95" s="14">
        <v>49000</v>
      </c>
      <c r="F95" s="13">
        <v>20</v>
      </c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>
        <f t="shared" si="2"/>
        <v>20</v>
      </c>
      <c r="Z95" s="20">
        <f t="shared" si="3"/>
        <v>980000</v>
      </c>
    </row>
    <row r="96" spans="1:26">
      <c r="A96" s="15"/>
      <c r="B96" s="15" t="s">
        <v>191</v>
      </c>
      <c r="C96" s="12" t="s">
        <v>192</v>
      </c>
      <c r="D96" s="11" t="s">
        <v>9</v>
      </c>
      <c r="E96" s="14">
        <v>47000</v>
      </c>
      <c r="F96" s="13">
        <v>12</v>
      </c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>
        <f t="shared" si="2"/>
        <v>12</v>
      </c>
      <c r="Z96" s="20">
        <f t="shared" si="3"/>
        <v>564000</v>
      </c>
    </row>
    <row r="97" spans="1:26">
      <c r="A97" s="11"/>
      <c r="B97" s="11" t="s">
        <v>193</v>
      </c>
      <c r="C97" s="12" t="s">
        <v>194</v>
      </c>
      <c r="D97" s="11" t="s">
        <v>9</v>
      </c>
      <c r="E97" s="14">
        <v>0</v>
      </c>
      <c r="F97" s="13">
        <v>11</v>
      </c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>
        <f t="shared" si="2"/>
        <v>11</v>
      </c>
      <c r="Z97" s="20">
        <f t="shared" si="3"/>
        <v>0</v>
      </c>
    </row>
    <row r="98" spans="1:26">
      <c r="A98" s="15"/>
      <c r="B98" s="15" t="s">
        <v>195</v>
      </c>
      <c r="C98" s="12" t="s">
        <v>196</v>
      </c>
      <c r="D98" s="11" t="s">
        <v>9</v>
      </c>
      <c r="E98" s="14">
        <v>0</v>
      </c>
      <c r="F98" s="13">
        <v>0</v>
      </c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>
        <f t="shared" si="2"/>
        <v>0</v>
      </c>
      <c r="Z98" s="20">
        <f t="shared" si="3"/>
        <v>0</v>
      </c>
    </row>
    <row r="99" spans="1:26">
      <c r="A99" s="11"/>
      <c r="B99" s="11" t="s">
        <v>197</v>
      </c>
      <c r="C99" s="12" t="s">
        <v>198</v>
      </c>
      <c r="D99" s="11" t="s">
        <v>203</v>
      </c>
      <c r="E99" s="14">
        <v>120000</v>
      </c>
      <c r="F99" s="13">
        <v>0</v>
      </c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>
        <f t="shared" si="2"/>
        <v>0</v>
      </c>
      <c r="Z99" s="20">
        <f t="shared" si="3"/>
        <v>0</v>
      </c>
    </row>
    <row r="100" spans="1:26">
      <c r="A100" s="15"/>
      <c r="B100" s="15" t="s">
        <v>199</v>
      </c>
      <c r="C100" s="12" t="s">
        <v>200</v>
      </c>
      <c r="D100" s="11" t="s">
        <v>203</v>
      </c>
      <c r="E100" s="14">
        <v>120000</v>
      </c>
      <c r="F100" s="13">
        <v>0</v>
      </c>
      <c r="G100" s="13">
        <v>30</v>
      </c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>
        <f t="shared" si="2"/>
        <v>30</v>
      </c>
      <c r="Z100" s="20">
        <f t="shared" si="3"/>
        <v>3600000</v>
      </c>
    </row>
    <row r="101" spans="1:26">
      <c r="A101" s="11"/>
      <c r="B101" s="11" t="s">
        <v>201</v>
      </c>
      <c r="C101" s="12" t="s">
        <v>202</v>
      </c>
      <c r="D101" s="11" t="s">
        <v>9</v>
      </c>
      <c r="E101" s="14">
        <v>0</v>
      </c>
      <c r="F101" s="13">
        <v>21</v>
      </c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>
        <f t="shared" si="2"/>
        <v>21</v>
      </c>
      <c r="Z101" s="20">
        <f t="shared" si="3"/>
        <v>0</v>
      </c>
    </row>
    <row r="102" spans="1:26">
      <c r="A102" s="15"/>
      <c r="B102" s="15" t="s">
        <v>204</v>
      </c>
      <c r="C102" s="12" t="s">
        <v>205</v>
      </c>
      <c r="D102" s="11" t="s">
        <v>9</v>
      </c>
      <c r="E102" s="14">
        <v>0</v>
      </c>
      <c r="F102" s="13">
        <v>34</v>
      </c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>
        <f t="shared" si="2"/>
        <v>34</v>
      </c>
      <c r="Z102" s="20">
        <f t="shared" si="3"/>
        <v>0</v>
      </c>
    </row>
    <row r="103" spans="1:26">
      <c r="A103" s="11"/>
      <c r="B103" s="11" t="s">
        <v>206</v>
      </c>
      <c r="C103" s="12" t="s">
        <v>249</v>
      </c>
      <c r="D103" s="11" t="s">
        <v>9</v>
      </c>
      <c r="E103" s="14">
        <v>0</v>
      </c>
      <c r="F103" s="13">
        <v>0</v>
      </c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>
        <f t="shared" si="2"/>
        <v>0</v>
      </c>
      <c r="Z103" s="20">
        <f t="shared" si="3"/>
        <v>0</v>
      </c>
    </row>
    <row r="104" spans="1:26">
      <c r="A104" s="15"/>
      <c r="B104" s="15" t="s">
        <v>207</v>
      </c>
      <c r="C104" s="12" t="s">
        <v>250</v>
      </c>
      <c r="D104" s="11" t="s">
        <v>9</v>
      </c>
      <c r="E104" s="14">
        <v>0</v>
      </c>
      <c r="F104" s="13">
        <v>0</v>
      </c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>
        <f t="shared" si="2"/>
        <v>0</v>
      </c>
      <c r="Z104" s="20">
        <f t="shared" si="3"/>
        <v>0</v>
      </c>
    </row>
    <row r="105" spans="1:26">
      <c r="A105" s="11"/>
      <c r="B105" s="11" t="s">
        <v>208</v>
      </c>
      <c r="C105" s="12" t="s">
        <v>251</v>
      </c>
      <c r="D105" s="11" t="s">
        <v>32</v>
      </c>
      <c r="E105" s="14">
        <v>43000</v>
      </c>
      <c r="F105" s="13">
        <v>0</v>
      </c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>
        <f t="shared" si="2"/>
        <v>0</v>
      </c>
      <c r="Z105" s="20">
        <f t="shared" si="3"/>
        <v>0</v>
      </c>
    </row>
    <row r="106" spans="1:26">
      <c r="A106" s="15"/>
      <c r="B106" s="15" t="s">
        <v>209</v>
      </c>
      <c r="C106" s="12" t="s">
        <v>252</v>
      </c>
      <c r="D106" s="11" t="s">
        <v>32</v>
      </c>
      <c r="E106" s="14">
        <v>18000</v>
      </c>
      <c r="F106" s="13">
        <v>0</v>
      </c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>
        <f t="shared" si="2"/>
        <v>0</v>
      </c>
      <c r="Z106" s="20">
        <f t="shared" si="3"/>
        <v>0</v>
      </c>
    </row>
    <row r="107" spans="1:26">
      <c r="A107" s="11"/>
      <c r="B107" s="11" t="s">
        <v>234</v>
      </c>
      <c r="C107" s="12" t="s">
        <v>253</v>
      </c>
      <c r="D107" s="11" t="s">
        <v>32</v>
      </c>
      <c r="E107" s="14">
        <v>16000</v>
      </c>
      <c r="F107" s="13">
        <v>0</v>
      </c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>
        <f t="shared" ref="Y107:Y121" si="4">F107+G107-H107+I107-J107+K107-L107+M107-N107+O107-P107+Q107-R107+S107-T107+U107-V107+W107-X107</f>
        <v>0</v>
      </c>
      <c r="Z107" s="20">
        <f t="shared" ref="Z107:Z121" si="5">E107*Y107</f>
        <v>0</v>
      </c>
    </row>
    <row r="108" spans="1:26">
      <c r="A108" s="15"/>
      <c r="B108" s="15" t="s">
        <v>235</v>
      </c>
      <c r="C108" s="12" t="s">
        <v>254</v>
      </c>
      <c r="D108" s="11" t="s">
        <v>32</v>
      </c>
      <c r="E108" s="14">
        <v>33000</v>
      </c>
      <c r="F108" s="13">
        <v>0</v>
      </c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>
        <f t="shared" si="4"/>
        <v>0</v>
      </c>
      <c r="Z108" s="20">
        <f t="shared" si="5"/>
        <v>0</v>
      </c>
    </row>
    <row r="109" spans="1:26">
      <c r="A109" s="11"/>
      <c r="B109" s="11" t="s">
        <v>236</v>
      </c>
      <c r="C109" s="12" t="s">
        <v>255</v>
      </c>
      <c r="D109" s="11" t="s">
        <v>32</v>
      </c>
      <c r="E109" s="14">
        <v>0</v>
      </c>
      <c r="F109" s="13">
        <v>0</v>
      </c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>
        <f t="shared" si="4"/>
        <v>0</v>
      </c>
      <c r="Z109" s="20">
        <f t="shared" si="5"/>
        <v>0</v>
      </c>
    </row>
    <row r="110" spans="1:26">
      <c r="A110" s="15"/>
      <c r="B110" s="15" t="s">
        <v>237</v>
      </c>
      <c r="C110" s="12" t="s">
        <v>256</v>
      </c>
      <c r="D110" s="11" t="s">
        <v>32</v>
      </c>
      <c r="E110" s="14">
        <v>18000</v>
      </c>
      <c r="F110" s="13">
        <v>0</v>
      </c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>
        <f t="shared" si="4"/>
        <v>0</v>
      </c>
      <c r="Z110" s="20">
        <f t="shared" si="5"/>
        <v>0</v>
      </c>
    </row>
    <row r="111" spans="1:26">
      <c r="A111" s="11"/>
      <c r="B111" s="11" t="s">
        <v>238</v>
      </c>
      <c r="C111" s="12" t="s">
        <v>257</v>
      </c>
      <c r="D111" s="11" t="s">
        <v>32</v>
      </c>
      <c r="E111" s="14">
        <v>58000</v>
      </c>
      <c r="F111" s="13">
        <v>0</v>
      </c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>
        <f t="shared" si="4"/>
        <v>0</v>
      </c>
      <c r="Z111" s="20">
        <f t="shared" si="5"/>
        <v>0</v>
      </c>
    </row>
    <row r="112" spans="1:26">
      <c r="A112" s="15"/>
      <c r="B112" s="15" t="s">
        <v>239</v>
      </c>
      <c r="C112" s="12" t="s">
        <v>258</v>
      </c>
      <c r="D112" s="11" t="s">
        <v>32</v>
      </c>
      <c r="E112" s="14">
        <v>110000</v>
      </c>
      <c r="F112" s="13">
        <v>0</v>
      </c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>
        <f t="shared" si="4"/>
        <v>0</v>
      </c>
      <c r="Z112" s="20">
        <f t="shared" si="5"/>
        <v>0</v>
      </c>
    </row>
    <row r="113" spans="1:26">
      <c r="A113" s="11"/>
      <c r="B113" s="11" t="s">
        <v>240</v>
      </c>
      <c r="C113" s="12" t="s">
        <v>259</v>
      </c>
      <c r="D113" s="11" t="s">
        <v>32</v>
      </c>
      <c r="E113" s="14">
        <v>200000</v>
      </c>
      <c r="F113" s="13">
        <v>0</v>
      </c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>
        <f t="shared" si="4"/>
        <v>0</v>
      </c>
      <c r="Z113" s="20">
        <f t="shared" si="5"/>
        <v>0</v>
      </c>
    </row>
    <row r="114" spans="1:26">
      <c r="A114" s="15"/>
      <c r="B114" s="15" t="s">
        <v>241</v>
      </c>
      <c r="C114" s="12" t="s">
        <v>260</v>
      </c>
      <c r="D114" s="11" t="s">
        <v>9</v>
      </c>
      <c r="E114" s="14">
        <v>0</v>
      </c>
      <c r="F114" s="13">
        <v>0</v>
      </c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>
        <f t="shared" si="4"/>
        <v>0</v>
      </c>
      <c r="Z114" s="20">
        <f t="shared" si="5"/>
        <v>0</v>
      </c>
    </row>
    <row r="115" spans="1:26">
      <c r="A115" s="11"/>
      <c r="B115" s="11" t="s">
        <v>242</v>
      </c>
      <c r="C115" s="12" t="s">
        <v>261</v>
      </c>
      <c r="D115" s="11" t="s">
        <v>9</v>
      </c>
      <c r="E115" s="14">
        <v>0</v>
      </c>
      <c r="F115" s="13">
        <v>0</v>
      </c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>
        <f t="shared" si="4"/>
        <v>0</v>
      </c>
      <c r="Z115" s="20">
        <f t="shared" si="5"/>
        <v>0</v>
      </c>
    </row>
    <row r="116" spans="1:26">
      <c r="A116" s="15"/>
      <c r="B116" s="15" t="s">
        <v>243</v>
      </c>
      <c r="C116" s="12"/>
      <c r="D116" s="11" t="s">
        <v>9</v>
      </c>
      <c r="E116" s="14">
        <v>0</v>
      </c>
      <c r="F116" s="13">
        <v>0</v>
      </c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>
        <f t="shared" si="4"/>
        <v>0</v>
      </c>
      <c r="Z116" s="20">
        <f t="shared" si="5"/>
        <v>0</v>
      </c>
    </row>
    <row r="117" spans="1:26">
      <c r="A117" s="11"/>
      <c r="B117" s="11" t="s">
        <v>244</v>
      </c>
      <c r="C117" s="12"/>
      <c r="D117" s="11" t="s">
        <v>9</v>
      </c>
      <c r="E117" s="14">
        <v>0</v>
      </c>
      <c r="F117" s="13">
        <v>0</v>
      </c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>
        <f t="shared" si="4"/>
        <v>0</v>
      </c>
      <c r="Z117" s="20">
        <f t="shared" si="5"/>
        <v>0</v>
      </c>
    </row>
    <row r="118" spans="1:26">
      <c r="A118" s="15"/>
      <c r="B118" s="15" t="s">
        <v>245</v>
      </c>
      <c r="C118" s="12"/>
      <c r="D118" s="11" t="s">
        <v>9</v>
      </c>
      <c r="E118" s="14">
        <v>0</v>
      </c>
      <c r="F118" s="13">
        <v>0</v>
      </c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>
        <f t="shared" si="4"/>
        <v>0</v>
      </c>
      <c r="Z118" s="20">
        <f t="shared" si="5"/>
        <v>0</v>
      </c>
    </row>
    <row r="119" spans="1:26">
      <c r="A119" s="11"/>
      <c r="B119" s="11" t="s">
        <v>246</v>
      </c>
      <c r="C119" s="12"/>
      <c r="D119" s="11" t="s">
        <v>9</v>
      </c>
      <c r="E119" s="14">
        <v>0</v>
      </c>
      <c r="F119" s="13">
        <v>0</v>
      </c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>
        <f t="shared" si="4"/>
        <v>0</v>
      </c>
      <c r="Z119" s="20">
        <f t="shared" si="5"/>
        <v>0</v>
      </c>
    </row>
    <row r="120" spans="1:26">
      <c r="A120" s="15"/>
      <c r="B120" s="15" t="s">
        <v>247</v>
      </c>
      <c r="C120" s="12"/>
      <c r="D120" s="11" t="s">
        <v>9</v>
      </c>
      <c r="E120" s="14">
        <v>0</v>
      </c>
      <c r="F120" s="13">
        <v>0</v>
      </c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>
        <f t="shared" si="4"/>
        <v>0</v>
      </c>
      <c r="Z120" s="20">
        <f t="shared" si="5"/>
        <v>0</v>
      </c>
    </row>
    <row r="121" spans="1:26">
      <c r="A121" s="11"/>
      <c r="B121" s="11" t="s">
        <v>248</v>
      </c>
      <c r="C121" s="12"/>
      <c r="D121" s="11" t="s">
        <v>9</v>
      </c>
      <c r="E121" s="14">
        <v>0</v>
      </c>
      <c r="F121" s="13">
        <v>0</v>
      </c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>
        <f t="shared" si="4"/>
        <v>0</v>
      </c>
      <c r="Z121" s="20">
        <f t="shared" si="5"/>
        <v>0</v>
      </c>
    </row>
    <row r="122" spans="1:26">
      <c r="A122" s="31" t="s">
        <v>210</v>
      </c>
      <c r="B122" s="31"/>
      <c r="C122" s="31"/>
      <c r="D122" s="11"/>
      <c r="E122" s="13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3">
        <f t="shared" ref="Y122" si="6">F122+G122-H122+I122-J122+K122-L122+M122-N122+O122-P122+Q122-R122+S122-T122+U122-V122+W122-X122</f>
        <v>0</v>
      </c>
      <c r="Z122" s="20">
        <f t="shared" ref="Z122" si="7">E122*Y122</f>
        <v>0</v>
      </c>
    </row>
  </sheetData>
  <mergeCells count="9">
    <mergeCell ref="A122:C122"/>
    <mergeCell ref="A1:Z1"/>
    <mergeCell ref="F3:F4"/>
    <mergeCell ref="Y3:Y4"/>
    <mergeCell ref="E3:E4"/>
    <mergeCell ref="A3:A4"/>
    <mergeCell ref="C3:C4"/>
    <mergeCell ref="D3:D4"/>
    <mergeCell ref="Z3:Z4"/>
  </mergeCells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5"/>
  <sheetViews>
    <sheetView topLeftCell="A4" workbookViewId="0">
      <selection activeCell="D5" sqref="D5"/>
    </sheetView>
  </sheetViews>
  <sheetFormatPr defaultColWidth="9" defaultRowHeight="13.5"/>
  <cols>
    <col min="1" max="1" width="18.125" customWidth="1"/>
    <col min="2" max="2" width="16.625" customWidth="1"/>
    <col min="3" max="3" width="34.625" customWidth="1"/>
    <col min="4" max="4" width="16.875" style="5" customWidth="1"/>
    <col min="5" max="5" width="10.125" customWidth="1"/>
  </cols>
  <sheetData>
    <row r="1" spans="1:5" ht="22.5" customHeight="1">
      <c r="A1" s="40" t="s">
        <v>211</v>
      </c>
      <c r="B1" s="40"/>
      <c r="C1" s="40"/>
      <c r="D1" s="40"/>
      <c r="E1" s="40"/>
    </row>
    <row r="3" spans="1:5">
      <c r="A3" t="s">
        <v>212</v>
      </c>
      <c r="B3" t="s">
        <v>213</v>
      </c>
      <c r="C3" t="s">
        <v>2</v>
      </c>
      <c r="D3" s="5" t="s">
        <v>214</v>
      </c>
    </row>
    <row r="4" spans="1:5" ht="14.25">
      <c r="B4" s="30" t="s">
        <v>7</v>
      </c>
      <c r="C4" t="str">
        <f>VLOOKUP(Table1[[#This Row],[KODE BARANG ]],DATA!B5:C78,2,FALSE)</f>
        <v xml:space="preserve">MINYAK GORENG </v>
      </c>
      <c r="D4" s="5">
        <v>50</v>
      </c>
    </row>
    <row r="5" spans="1:5">
      <c r="A5" t="s">
        <v>215</v>
      </c>
      <c r="B5" s="3" t="s">
        <v>7</v>
      </c>
      <c r="C5" t="str">
        <f>VLOOKUP(Table1[[#This Row],[KODE BARANG ]],DATA!B6:C78,2,FALSE)</f>
        <v xml:space="preserve">MINYAK GORENG </v>
      </c>
      <c r="D5" s="5" t="s">
        <v>166</v>
      </c>
    </row>
    <row r="6" spans="1:5">
      <c r="B6" s="3" t="s">
        <v>10</v>
      </c>
      <c r="C6" t="str">
        <f>VLOOKUP(Table1[[#This Row],[KODE BARANG ]],DATA!B7:C79,2,FALSE)</f>
        <v xml:space="preserve">SEGITIGA BIRU </v>
      </c>
      <c r="D6" s="5">
        <v>0</v>
      </c>
    </row>
    <row r="7" spans="1:5">
      <c r="B7" s="3" t="s">
        <v>12</v>
      </c>
      <c r="C7" t="str">
        <f>VLOOKUP(Table1[[#This Row],[KODE BARANG ]],DATA!B8:C80,2,FALSE)</f>
        <v>TEPUNG TAPIOKA</v>
      </c>
      <c r="D7" s="5">
        <v>0</v>
      </c>
    </row>
    <row r="8" spans="1:5">
      <c r="B8" s="3" t="s">
        <v>14</v>
      </c>
      <c r="C8" t="str">
        <f>VLOOKUP(Table1[[#This Row],[KODE BARANG ]],DATA!B9:C81,2,FALSE)</f>
        <v>TEPUNG BERAS</v>
      </c>
      <c r="D8" s="5">
        <v>0</v>
      </c>
    </row>
    <row r="9" spans="1:5">
      <c r="B9" s="3" t="s">
        <v>16</v>
      </c>
      <c r="C9" t="str">
        <f>VLOOKUP(Table1[[#This Row],[KODE BARANG ]],DATA!B10:C82,2,FALSE)</f>
        <v xml:space="preserve">TEPUNG KOBE </v>
      </c>
      <c r="D9" s="5">
        <v>0</v>
      </c>
    </row>
    <row r="10" spans="1:5">
      <c r="B10" s="3" t="s">
        <v>18</v>
      </c>
      <c r="C10" t="str">
        <f>VLOOKUP(Table1[[#This Row],[KODE BARANG ]],DATA!B11:C83,2,FALSE)</f>
        <v>MASAKO</v>
      </c>
      <c r="D10" s="5">
        <v>12</v>
      </c>
    </row>
    <row r="11" spans="1:5">
      <c r="B11" s="3" t="s">
        <v>20</v>
      </c>
      <c r="C11" t="str">
        <f>VLOOKUP(Table1[[#This Row],[KODE BARANG ]],DATA!B12:C84,2,FALSE)</f>
        <v>AJINAMOTO</v>
      </c>
      <c r="D11" s="5">
        <v>0</v>
      </c>
    </row>
    <row r="12" spans="1:5">
      <c r="B12" s="3" t="s">
        <v>22</v>
      </c>
      <c r="C12" t="str">
        <f>VLOOKUP(Table1[[#This Row],[KODE BARANG ]],DATA!B13:C85,2,FALSE)</f>
        <v xml:space="preserve">GARAM </v>
      </c>
      <c r="D12" s="5">
        <v>0</v>
      </c>
    </row>
    <row r="13" spans="1:5">
      <c r="B13" s="3" t="s">
        <v>24</v>
      </c>
      <c r="C13" t="str">
        <f>VLOOKUP(Table1[[#This Row],[KODE BARANG ]],DATA!B14:C87,2,FALSE)</f>
        <v>MAIZENAKU</v>
      </c>
    </row>
    <row r="14" spans="1:5">
      <c r="B14" s="3" t="s">
        <v>26</v>
      </c>
      <c r="C14" t="str">
        <f>VLOOKUP(Table1[[#This Row],[KODE BARANG ]],DATA!B15:C88,2,FALSE)</f>
        <v>MENTEGA BALOK</v>
      </c>
    </row>
    <row r="15" spans="1:5">
      <c r="B15" s="3" t="s">
        <v>28</v>
      </c>
      <c r="C15" t="str">
        <f>VLOOKUP(Table1[[#This Row],[KODE BARANG ]],DATA!B16:C89,2,FALSE)</f>
        <v xml:space="preserve">BAWANG GORENG </v>
      </c>
    </row>
    <row r="16" spans="1:5">
      <c r="B16" s="3" t="s">
        <v>30</v>
      </c>
      <c r="C16" t="str">
        <f>VLOOKUP(Table1[[#This Row],[KODE BARANG ]],DATA!B17:C90,2,FALSE)</f>
        <v xml:space="preserve">TERASI UDANG </v>
      </c>
    </row>
    <row r="17" spans="2:4">
      <c r="B17" s="3" t="s">
        <v>33</v>
      </c>
      <c r="C17" t="str">
        <f>VLOOKUP(Table1[[#This Row],[KODE BARANG ]],DATA!B18:C91,2,FALSE)</f>
        <v xml:space="preserve">PEWARNA PANGAN MERAH CABE </v>
      </c>
    </row>
    <row r="18" spans="2:4">
      <c r="B18" s="3" t="s">
        <v>35</v>
      </c>
      <c r="C18" t="str">
        <f>VLOOKUP(Table1[[#This Row],[KODE BARANG ]],DATA!B19:C92,2,FALSE)</f>
        <v>KERUPUK PESTA</v>
      </c>
    </row>
    <row r="19" spans="2:4">
      <c r="B19" s="3" t="s">
        <v>37</v>
      </c>
      <c r="C19" t="str">
        <f>VLOOKUP(Table1[[#This Row],[KODE BARANG ]],DATA!B20:C93,2,FALSE)</f>
        <v xml:space="preserve">KERUPUK FINNA </v>
      </c>
    </row>
    <row r="20" spans="2:4">
      <c r="B20" s="3" t="s">
        <v>39</v>
      </c>
      <c r="C20" t="str">
        <f>VLOOKUP(Table1[[#This Row],[KODE BARANG ]],DATA!B21:C94,2,FALSE)</f>
        <v>MUSHROOM</v>
      </c>
    </row>
    <row r="21" spans="2:4">
      <c r="B21" s="3" t="s">
        <v>41</v>
      </c>
      <c r="C21" t="str">
        <f>VLOOKUP(Table1[[#This Row],[KODE BARANG ]],DATA!B22:C95,2,FALSE)</f>
        <v>HERCULES</v>
      </c>
    </row>
    <row r="22" spans="2:4">
      <c r="B22" s="3" t="s">
        <v>43</v>
      </c>
      <c r="C22" t="str">
        <f>VLOOKUP(Table1[[#This Row],[KODE BARANG ]],DATA!B23:C96,2,FALSE)</f>
        <v>MADU TJ</v>
      </c>
    </row>
    <row r="23" spans="2:4">
      <c r="B23" s="3" t="s">
        <v>45</v>
      </c>
      <c r="C23" t="str">
        <f>VLOOKUP(Table1[[#This Row],[KODE BARANG ]],DATA!B24:C97,2,FALSE)</f>
        <v xml:space="preserve">SODA KUE </v>
      </c>
    </row>
    <row r="24" spans="2:4">
      <c r="B24" s="3" t="s">
        <v>47</v>
      </c>
      <c r="C24" t="str">
        <f>VLOOKUP(Table1[[#This Row],[KODE BARANG ]],DATA!B25:C98,2,FALSE)</f>
        <v xml:space="preserve">CUKA DAPUR </v>
      </c>
    </row>
    <row r="25" spans="2:4">
      <c r="B25" s="3" t="s">
        <v>50</v>
      </c>
      <c r="C25" t="str">
        <f>VLOOKUP(Table1[[#This Row],[KODE BARANG ]],DATA!B26:C99,2,FALSE)</f>
        <v xml:space="preserve">SAUS TIRAM CAP PANDA </v>
      </c>
      <c r="D25" s="5">
        <v>6</v>
      </c>
    </row>
    <row r="26" spans="2:4">
      <c r="B26" s="3" t="s">
        <v>52</v>
      </c>
      <c r="C26" t="str">
        <f>VLOOKUP(Table1[[#This Row],[KODE BARANG ]],DATA!B27:C100,2,FALSE)</f>
        <v xml:space="preserve">KECAP INGGRIS </v>
      </c>
    </row>
    <row r="27" spans="2:4">
      <c r="B27" s="3" t="s">
        <v>54</v>
      </c>
      <c r="C27" t="str">
        <f>VLOOKUP(Table1[[#This Row],[KODE BARANG ]],DATA!B28:C101,2,FALSE)</f>
        <v xml:space="preserve">ANCIU PENYEDAP MAKANAN </v>
      </c>
    </row>
    <row r="28" spans="2:4">
      <c r="B28" s="3" t="s">
        <v>56</v>
      </c>
      <c r="C28" t="str">
        <f>VLOOKUP(Table1[[#This Row],[KODE BARANG ]],DATA!B29:C102,2,FALSE)</f>
        <v xml:space="preserve">KECAP HITAM </v>
      </c>
    </row>
    <row r="29" spans="2:4">
      <c r="B29" s="3" t="s">
        <v>58</v>
      </c>
      <c r="C29" t="str">
        <f>VLOOKUP(Table1[[#This Row],[KODE BARANG ]],DATA!B30:C103,2,FALSE)</f>
        <v xml:space="preserve">MINYAK WIJEN </v>
      </c>
    </row>
    <row r="30" spans="2:4">
      <c r="B30" s="3" t="s">
        <v>60</v>
      </c>
      <c r="C30" t="str">
        <f>VLOOKUP(Table1[[#This Row],[KODE BARANG ]],DATA!B31:C104,2,FALSE)</f>
        <v xml:space="preserve">KECAP IKAN FINNA </v>
      </c>
    </row>
    <row r="31" spans="2:4">
      <c r="B31" s="3" t="s">
        <v>62</v>
      </c>
      <c r="C31" t="str">
        <f>VLOOKUP(Table1[[#This Row],[KODE BARANG ]],DATA!B32:C105,2,FALSE)</f>
        <v xml:space="preserve">SAUS RAJA RASA </v>
      </c>
    </row>
    <row r="32" spans="2:4">
      <c r="B32" s="3" t="s">
        <v>64</v>
      </c>
      <c r="C32" t="str">
        <f>VLOOKUP(Table1[[#This Row],[KODE BARANG ]],DATA!B33:C106,2,FALSE)</f>
        <v>KECAP IKAN ROYAL</v>
      </c>
    </row>
    <row r="33" spans="1:4">
      <c r="B33" s="3" t="s">
        <v>66</v>
      </c>
      <c r="C33" t="str">
        <f>VLOOKUP(Table1[[#This Row],[KODE BARANG ]],DATA!B34:C106,2,FALSE)</f>
        <v xml:space="preserve">KECAP ASIN </v>
      </c>
    </row>
    <row r="34" spans="1:4">
      <c r="B34" s="3" t="s">
        <v>68</v>
      </c>
      <c r="C34" t="str">
        <f>VLOOKUP(Table1[[#This Row],[KODE BARANG ]],DATA!B35:C107,2,FALSE)</f>
        <v xml:space="preserve">KECAP BANGO </v>
      </c>
    </row>
    <row r="35" spans="1:4">
      <c r="B35" s="3" t="s">
        <v>70</v>
      </c>
      <c r="C35" t="str">
        <f>VLOOKUP(Table1[[#This Row],[KODE BARANG ]],DATA!B36:C108,2,FALSE)</f>
        <v xml:space="preserve">SAUS ABC SAMBEL ASLI </v>
      </c>
    </row>
    <row r="36" spans="1:4">
      <c r="B36" s="3" t="s">
        <v>72</v>
      </c>
      <c r="C36" t="str">
        <f>VLOOKUP(Table1[[#This Row],[KODE BARANG ]],DATA!B37:C109,2,FALSE)</f>
        <v xml:space="preserve">SAUS ABC TOMAT </v>
      </c>
    </row>
    <row r="37" spans="1:4">
      <c r="B37" s="3" t="s">
        <v>74</v>
      </c>
      <c r="C37" t="str">
        <f>VLOOKUP(Table1[[#This Row],[KODE BARANG ]],DATA!B38:C110,2,FALSE)</f>
        <v xml:space="preserve">SANTAN KARA SUN </v>
      </c>
    </row>
    <row r="38" spans="1:4">
      <c r="B38" s="3" t="s">
        <v>76</v>
      </c>
      <c r="C38" t="str">
        <f>VLOOKUP(Table1[[#This Row],[KODE BARANG ]],DATA!B39:C111,2,FALSE)</f>
        <v xml:space="preserve">SAUS TOMAT CAP BAGONG </v>
      </c>
    </row>
    <row r="39" spans="1:4">
      <c r="A39" t="s">
        <v>215</v>
      </c>
      <c r="B39" s="3" t="s">
        <v>78</v>
      </c>
      <c r="C39" t="str">
        <f>VLOOKUP(Table1[[#This Row],[KODE BARANG ]],DATA!B40:C112,2,FALSE)</f>
        <v xml:space="preserve">SUSU UHT </v>
      </c>
      <c r="D39" s="5" t="s">
        <v>166</v>
      </c>
    </row>
    <row r="40" spans="1:4">
      <c r="A40" t="s">
        <v>215</v>
      </c>
      <c r="B40" s="3" t="s">
        <v>80</v>
      </c>
      <c r="C40" t="str">
        <f>VLOOKUP(Table1[[#This Row],[KODE BARANG ]],DATA!B41:C113,2,FALSE)</f>
        <v>MAX CREAMER</v>
      </c>
      <c r="D40" s="5" t="s">
        <v>166</v>
      </c>
    </row>
    <row r="41" spans="1:4">
      <c r="B41" s="3" t="s">
        <v>82</v>
      </c>
      <c r="C41" t="str">
        <f>VLOOKUP(Table1[[#This Row],[KODE BARANG ]],DATA!B42:C114,2,FALSE)</f>
        <v xml:space="preserve">SUSU EVAPORASI </v>
      </c>
    </row>
    <row r="42" spans="1:4">
      <c r="A42" t="s">
        <v>215</v>
      </c>
      <c r="B42" s="3" t="s">
        <v>84</v>
      </c>
      <c r="C42" t="str">
        <f>VLOOKUP(Table1[[#This Row],[KODE BARANG ]],DATA!B43:C115,2,FALSE)</f>
        <v xml:space="preserve">MORING TOPPING COKLAT </v>
      </c>
      <c r="D42" s="5" t="s">
        <v>166</v>
      </c>
    </row>
    <row r="43" spans="1:4">
      <c r="B43" s="3" t="s">
        <v>86</v>
      </c>
      <c r="C43" t="str">
        <f>VLOOKUP(Table1[[#This Row],[KODE BARANG ]],DATA!B44:C116,2,FALSE)</f>
        <v xml:space="preserve">MORING TOPPING CARAMEL </v>
      </c>
    </row>
    <row r="44" spans="1:4">
      <c r="B44" s="3" t="s">
        <v>88</v>
      </c>
      <c r="C44" t="str">
        <f>VLOOKUP(Table1[[#This Row],[KODE BARANG ]],DATA!B45:C117,2,FALSE)</f>
        <v>MORING TOPPING STRAWBERY</v>
      </c>
    </row>
    <row r="45" spans="1:4">
      <c r="B45" s="3" t="s">
        <v>90</v>
      </c>
      <c r="C45" t="str">
        <f>VLOOKUP(Table1[[#This Row],[KODE BARANG ]],DATA!B46:C118,2,FALSE)</f>
        <v>MARJAN LECI</v>
      </c>
    </row>
    <row r="46" spans="1:4">
      <c r="B46" s="3" t="s">
        <v>92</v>
      </c>
      <c r="C46" t="str">
        <f>VLOOKUP(Table1[[#This Row],[KODE BARANG ]],DATA!B47:C119,2,FALSE)</f>
        <v>MARJAN VANILA</v>
      </c>
    </row>
    <row r="47" spans="1:4">
      <c r="B47" s="3" t="s">
        <v>94</v>
      </c>
      <c r="C47" t="str">
        <f>VLOOKUP(Table1[[#This Row],[KODE BARANG ]],DATA!B48:C120,2,FALSE)</f>
        <v xml:space="preserve">ABC COCOPANDAN </v>
      </c>
    </row>
    <row r="48" spans="1:4">
      <c r="B48" s="3" t="s">
        <v>96</v>
      </c>
      <c r="C48" t="str">
        <f>VLOOKUP(Table1[[#This Row],[KODE BARANG ]],DATA!B49:C121,2,FALSE)</f>
        <v>DENALI VANILA</v>
      </c>
    </row>
    <row r="49" spans="2:3">
      <c r="B49" s="3" t="s">
        <v>98</v>
      </c>
      <c r="C49" t="str">
        <f>VLOOKUP(Table1[[#This Row],[KODE BARANG ]],DATA!B50:C122,2,FALSE)</f>
        <v>DENALI TIRAMISU</v>
      </c>
    </row>
    <row r="50" spans="2:3">
      <c r="B50" s="3" t="s">
        <v>100</v>
      </c>
      <c r="C50" t="str">
        <f>VLOOKUP(Table1[[#This Row],[KODE BARANG ]],DATA!B51:C123,2,FALSE)</f>
        <v>DENALI STRAWBERY</v>
      </c>
    </row>
    <row r="51" spans="2:3">
      <c r="B51" s="3" t="s">
        <v>102</v>
      </c>
      <c r="C51" t="str">
        <f>VLOOKUP(Table1[[#This Row],[KODE BARANG ]],DATA!B52:C124,2,FALSE)</f>
        <v>DENALI GRENADINE</v>
      </c>
    </row>
    <row r="52" spans="2:3">
      <c r="B52" s="3" t="s">
        <v>104</v>
      </c>
      <c r="C52" t="str">
        <f>VLOOKUP(Table1[[#This Row],[KODE BARANG ]],DATA!B53:C125,2,FALSE)</f>
        <v>TORANI MOJITO MINT</v>
      </c>
    </row>
    <row r="53" spans="2:3">
      <c r="B53" s="3" t="s">
        <v>106</v>
      </c>
      <c r="C53" t="str">
        <f>VLOOKUP(Table1[[#This Row],[KODE BARANG ]],DATA!B54:C126,2,FALSE)</f>
        <v xml:space="preserve">TORANI CARAMEL </v>
      </c>
    </row>
    <row r="54" spans="2:3">
      <c r="B54" s="3" t="s">
        <v>108</v>
      </c>
      <c r="C54" t="str">
        <f>VLOOKUP(Table1[[#This Row],[KODE BARANG ]],DATA!B55:C127,2,FALSE)</f>
        <v xml:space="preserve">TORANI GREAN APLLE </v>
      </c>
    </row>
    <row r="55" spans="2:3">
      <c r="B55" s="3" t="s">
        <v>110</v>
      </c>
      <c r="C55" t="str">
        <f>VLOOKUP(Table1[[#This Row],[KODE BARANG ]],DATA!B56:C128,2,FALSE)</f>
        <v>TORANI HUZELNUT</v>
      </c>
    </row>
    <row r="56" spans="2:3">
      <c r="B56" s="3" t="s">
        <v>112</v>
      </c>
      <c r="C56" t="str">
        <f>VLOOKUP(Table1[[#This Row],[KODE BARANG ]],DATA!B57:C129,2,FALSE)</f>
        <v xml:space="preserve">DRIP PANDAN </v>
      </c>
    </row>
    <row r="57" spans="2:3">
      <c r="B57" s="3" t="s">
        <v>114</v>
      </c>
      <c r="C57" t="str">
        <f>VLOOKUP(Table1[[#This Row],[KODE BARANG ]],DATA!B58:C130,2,FALSE)</f>
        <v>DRIP BUTTERSCUTH</v>
      </c>
    </row>
    <row r="58" spans="2:3">
      <c r="B58" s="3" t="s">
        <v>116</v>
      </c>
      <c r="C58" t="str">
        <f>VLOOKUP(Table1[[#This Row],[KODE BARANG ]],DATA!B59:C131,2,FALSE)</f>
        <v>DARK COCO POWDER</v>
      </c>
    </row>
    <row r="59" spans="2:3">
      <c r="B59" s="3" t="s">
        <v>118</v>
      </c>
      <c r="C59" t="str">
        <f>VLOOKUP(Table1[[#This Row],[KODE BARANG ]],DATA!B60:C132,2,FALSE)</f>
        <v xml:space="preserve">DENALI POWDER VANILLA </v>
      </c>
    </row>
    <row r="60" spans="2:3">
      <c r="B60" s="3" t="s">
        <v>120</v>
      </c>
      <c r="C60" t="str">
        <f>VLOOKUP(Table1[[#This Row],[KODE BARANG ]],DATA!B61:C133,2,FALSE)</f>
        <v xml:space="preserve">DENALI POWDER TARO </v>
      </c>
    </row>
    <row r="61" spans="2:3">
      <c r="B61" s="3" t="s">
        <v>122</v>
      </c>
      <c r="C61" t="str">
        <f>VLOOKUP(Table1[[#This Row],[KODE BARANG ]],DATA!B62:C134,2,FALSE)</f>
        <v>OREO CRUMBE</v>
      </c>
    </row>
    <row r="62" spans="2:3">
      <c r="B62" s="3" t="s">
        <v>124</v>
      </c>
      <c r="C62" t="str">
        <f>VLOOKUP(Table1[[#This Row],[KODE BARANG ]],DATA!B63:C135,2,FALSE)</f>
        <v>OREO ORIGINAL</v>
      </c>
    </row>
    <row r="63" spans="2:3">
      <c r="B63" s="3" t="s">
        <v>126</v>
      </c>
      <c r="C63" t="str">
        <f>VLOOKUP(Table1[[#This Row],[KODE BARANG ]],DATA!B64:C136,2,FALSE)</f>
        <v>CHO CHO RATU COKLAT</v>
      </c>
    </row>
    <row r="64" spans="2:3">
      <c r="B64" s="3" t="s">
        <v>128</v>
      </c>
      <c r="C64" t="str">
        <f>VLOOKUP(Table1[[#This Row],[KODE BARANG ]],DATA!B65:C137,2,FALSE)</f>
        <v>CHO CHO RATU STRAWBERY</v>
      </c>
    </row>
    <row r="65" spans="2:4">
      <c r="B65" s="3" t="s">
        <v>130</v>
      </c>
      <c r="C65" t="str">
        <f>VLOOKUP(Table1[[#This Row],[KODE BARANG ]],DATA!B66:C138,2,FALSE)</f>
        <v>THE POCI</v>
      </c>
      <c r="D65" s="5">
        <v>30</v>
      </c>
    </row>
    <row r="66" spans="2:4">
      <c r="B66" s="3" t="s">
        <v>132</v>
      </c>
      <c r="C66" t="str">
        <f>VLOOKUP(Table1[[#This Row],[KODE BARANG ]],DATA!B67:C139,2,FALSE)</f>
        <v>OUT MILK</v>
      </c>
    </row>
    <row r="67" spans="2:4">
      <c r="B67" s="3" t="s">
        <v>134</v>
      </c>
      <c r="C67" t="str">
        <f>VLOOKUP(Table1[[#This Row],[KODE BARANG ]],DATA!B68:C140,2,FALSE)</f>
        <v>LYCHEES IN SIRUP</v>
      </c>
    </row>
    <row r="68" spans="2:4">
      <c r="B68" s="3" t="s">
        <v>136</v>
      </c>
      <c r="C68" t="str">
        <f>VLOOKUP(Table1[[#This Row],[KODE BARANG ]],DATA!B69:C141,2,FALSE)</f>
        <v xml:space="preserve">WIPPY CREAM </v>
      </c>
    </row>
    <row r="69" spans="2:4">
      <c r="B69" s="3" t="s">
        <v>138</v>
      </c>
      <c r="C69" t="str">
        <f>VLOOKUP(Table1[[#This Row],[KODE BARANG ]],DATA!B70:C142,2,FALSE)</f>
        <v>KEJU PROCHIZ GOLD</v>
      </c>
      <c r="D69" s="5">
        <v>1</v>
      </c>
    </row>
    <row r="70" spans="2:4">
      <c r="B70" s="3" t="s">
        <v>140</v>
      </c>
      <c r="C70" t="str">
        <f>VLOOKUP(Table1[[#This Row],[KODE BARANG ]],DATA!B71:C143,2,FALSE)</f>
        <v>KEJU PROCHIZ SPREADY</v>
      </c>
    </row>
    <row r="71" spans="2:4">
      <c r="B71" s="3" t="s">
        <v>142</v>
      </c>
      <c r="C71" t="str">
        <f>VLOOKUP(Table1[[#This Row],[KODE BARANG ]],DATA!B72:C144,2,FALSE)</f>
        <v xml:space="preserve">SIRUP GULA AREN </v>
      </c>
      <c r="D71" s="5" t="s">
        <v>166</v>
      </c>
    </row>
    <row r="72" spans="2:4">
      <c r="B72" s="3" t="s">
        <v>144</v>
      </c>
      <c r="C72" t="str">
        <f>VLOOKUP(Table1[[#This Row],[KODE BARANG ]],DATA!B73:C145,2,FALSE)</f>
        <v>SPRITE</v>
      </c>
    </row>
    <row r="73" spans="2:4">
      <c r="B73" s="3" t="s">
        <v>146</v>
      </c>
      <c r="C73" t="str">
        <f>VLOOKUP(Table1[[#This Row],[KODE BARANG ]],DATA!B74:C146,2,FALSE)</f>
        <v xml:space="preserve">SUSU OMELA </v>
      </c>
      <c r="D73" s="5">
        <v>48</v>
      </c>
    </row>
    <row r="74" spans="2:4">
      <c r="B74" s="3" t="s">
        <v>148</v>
      </c>
      <c r="C74" t="str">
        <f>VLOOKUP(Table1[[#This Row],[KODE BARANG ]],DATA!B75:C147,2,FALSE)</f>
        <v xml:space="preserve">SUSU COKLAT </v>
      </c>
      <c r="D74" s="5">
        <v>3</v>
      </c>
    </row>
    <row r="75" spans="2:4">
      <c r="B75" s="3" t="s">
        <v>150</v>
      </c>
      <c r="C75" t="str">
        <f>VLOOKUP(Table1[[#This Row],[KODE BARANG ]],DATA!B76:C148,2,FALSE)</f>
        <v xml:space="preserve">ES CREAM COKLAT </v>
      </c>
    </row>
    <row r="76" spans="2:4">
      <c r="B76" s="3" t="s">
        <v>152</v>
      </c>
      <c r="C76" t="str">
        <f>VLOOKUP(Table1[[#This Row],[KODE BARANG ]],DATA!B77:C149,2,FALSE)</f>
        <v xml:space="preserve">ES CREAM VANILLA </v>
      </c>
    </row>
    <row r="77" spans="2:4">
      <c r="B77" s="4" t="s">
        <v>154</v>
      </c>
      <c r="C77" t="str">
        <f>VLOOKUP(Table1[[#This Row],[KODE BARANG ]],DATA!B78:C150,2,FALSE)</f>
        <v>ES CREAM STRAWBERY</v>
      </c>
    </row>
    <row r="78" spans="2:4">
      <c r="B78" s="3" t="s">
        <v>156</v>
      </c>
      <c r="C78" t="str">
        <f>VLOOKUP(Table1[[#This Row],[KODE BARANG ]],DATA!B79:C151,2,FALSE)</f>
        <v>GULA PASIR</v>
      </c>
    </row>
    <row r="79" spans="2:4">
      <c r="B79" s="4" t="s">
        <v>158</v>
      </c>
      <c r="C79" t="str">
        <f>VLOOKUP(Table1[[#This Row],[KODE BARANG ]],DATA!B80:C152,2,FALSE)</f>
        <v>SUNLIGHT 5L</v>
      </c>
    </row>
    <row r="80" spans="2:4">
      <c r="B80" s="3" t="s">
        <v>160</v>
      </c>
      <c r="C80" t="str">
        <f>VLOOKUP(Table1[[#This Row],[KODE BARANG ]],DATA!B81:C153,2,FALSE)</f>
        <v xml:space="preserve">KENTANG </v>
      </c>
      <c r="D80" s="5">
        <v>5</v>
      </c>
    </row>
    <row r="81" spans="2:4">
      <c r="B81" s="4" t="s">
        <v>162</v>
      </c>
      <c r="C81" t="str">
        <f>VLOOKUP(Table1[[#This Row],[KODE BARANG ]],DATA!B82:C154,2,FALSE)</f>
        <v xml:space="preserve">SINGKONG </v>
      </c>
    </row>
    <row r="82" spans="2:4">
      <c r="B82" s="3" t="s">
        <v>164</v>
      </c>
      <c r="C82" t="str">
        <f>VLOOKUP(Table1[[#This Row],[KODE BARANG ]],DATA!B83:C155,2,FALSE)</f>
        <v xml:space="preserve">BAKSO IKAN </v>
      </c>
      <c r="D82" s="5" t="s">
        <v>166</v>
      </c>
    </row>
    <row r="83" spans="2:4">
      <c r="B83" s="4" t="s">
        <v>167</v>
      </c>
      <c r="C83" t="str">
        <f>VLOOKUP(Table1[[#This Row],[KODE BARANG ]],DATA!B84:C156,2,FALSE)</f>
        <v>BAKSO SAPI</v>
      </c>
    </row>
    <row r="84" spans="2:4">
      <c r="B84" s="3" t="s">
        <v>169</v>
      </c>
      <c r="C84" t="str">
        <f>VLOOKUP(Table1[[#This Row],[KODE BARANG ]],DATA!B85:C157,2,FALSE)</f>
        <v>IKAN KAKAP XL</v>
      </c>
    </row>
    <row r="85" spans="2:4">
      <c r="B85" s="4" t="s">
        <v>171</v>
      </c>
      <c r="C85" t="str">
        <f>VLOOKUP(Table1[[#This Row],[KODE BARANG ]],DATA!B86:C158,2,FALSE)</f>
        <v>IKAN KAKAP L</v>
      </c>
    </row>
    <row r="86" spans="2:4">
      <c r="B86" s="3" t="s">
        <v>173</v>
      </c>
      <c r="C86" t="str">
        <f>VLOOKUP(Table1[[#This Row],[KODE BARANG ]],DATA!B87:C159,2,FALSE)</f>
        <v>IKAN KAKAP M</v>
      </c>
    </row>
    <row r="87" spans="2:4">
      <c r="B87" s="4" t="s">
        <v>175</v>
      </c>
      <c r="C87" t="str">
        <f>VLOOKUP(Table1[[#This Row],[KODE BARANG ]],DATA!B88:C160,2,FALSE)</f>
        <v>IKAN MUBARA XL</v>
      </c>
    </row>
    <row r="88" spans="2:4">
      <c r="B88" s="3" t="s">
        <v>177</v>
      </c>
      <c r="C88" t="str">
        <f>VLOOKUP(Table1[[#This Row],[KODE BARANG ]],DATA!B89:C161,2,FALSE)</f>
        <v>IKAN MUBARA L</v>
      </c>
    </row>
    <row r="89" spans="2:4">
      <c r="B89" s="4" t="s">
        <v>179</v>
      </c>
      <c r="C89" t="str">
        <f>VLOOKUP(Table1[[#This Row],[KODE BARANG ]],DATA!B90:C162,2,FALSE)</f>
        <v>IKAN MUBARA M</v>
      </c>
    </row>
    <row r="90" spans="2:4">
      <c r="B90" s="3" t="s">
        <v>181</v>
      </c>
      <c r="C90" t="str">
        <f>VLOOKUP(Table1[[#This Row],[KODE BARANG ]],DATA!B91:C163,2,FALSE)</f>
        <v>IKAN MUBARA JUMBO</v>
      </c>
    </row>
    <row r="91" spans="2:4">
      <c r="B91" s="4" t="s">
        <v>183</v>
      </c>
      <c r="C91" t="str">
        <f>VLOOKUP(Table1[[#This Row],[KODE BARANG ]],DATA!B92:C164,2,FALSE)</f>
        <v>IKAN KERAPU XL</v>
      </c>
    </row>
    <row r="92" spans="2:4">
      <c r="B92" s="3" t="s">
        <v>185</v>
      </c>
      <c r="C92" t="str">
        <f>VLOOKUP(Table1[[#This Row],[KODE BARANG ]],DATA!B93:C165,2,FALSE)</f>
        <v>IKAN KERAPU L</v>
      </c>
    </row>
    <row r="93" spans="2:4">
      <c r="B93" s="4" t="s">
        <v>187</v>
      </c>
      <c r="C93" t="str">
        <f>VLOOKUP(Table1[[#This Row],[KODE BARANG ]],DATA!B94:C166,2,FALSE)</f>
        <v>IKAN KERAPU M</v>
      </c>
    </row>
    <row r="94" spans="2:4">
      <c r="B94" s="3" t="s">
        <v>189</v>
      </c>
      <c r="C94" t="str">
        <f>VLOOKUP(Table1[[#This Row],[KODE BARANG ]],DATA!B95:C167,2,FALSE)</f>
        <v>AYAM 0,9 KG</v>
      </c>
    </row>
    <row r="95" spans="2:4">
      <c r="B95" s="4" t="s">
        <v>191</v>
      </c>
      <c r="C95" t="str">
        <f>VLOOKUP(Table1[[#This Row],[KODE BARANG ]],DATA!B96:C168,2,FALSE)</f>
        <v>AYAM 2 KG</v>
      </c>
    </row>
    <row r="96" spans="2:4">
      <c r="B96" s="3" t="s">
        <v>193</v>
      </c>
      <c r="C96" t="str">
        <f>VLOOKUP(Table1[[#This Row],[KODE BARANG ]],DATA!B97:C169,2,FALSE)</f>
        <v>AYAM BLD</v>
      </c>
    </row>
    <row r="97" spans="2:3">
      <c r="B97" s="4" t="s">
        <v>195</v>
      </c>
      <c r="C97" t="str">
        <f>VLOOKUP(Table1[[#This Row],[KODE BARANG ]],DATA!B98:C170,2,FALSE)</f>
        <v>AYAM BLP</v>
      </c>
    </row>
    <row r="98" spans="2:3">
      <c r="B98" s="3" t="s">
        <v>197</v>
      </c>
      <c r="C98" t="str">
        <f>VLOOKUP(Table1[[#This Row],[KODE BARANG ]],DATA!B99:C171,2,FALSE)</f>
        <v>UDANG</v>
      </c>
    </row>
    <row r="99" spans="2:3">
      <c r="B99" s="4" t="s">
        <v>199</v>
      </c>
      <c r="C99" t="str">
        <f>VLOOKUP(Table1[[#This Row],[KODE BARANG ]],DATA!B100:C172,2,FALSE)</f>
        <v>CUMI</v>
      </c>
    </row>
    <row r="100" spans="2:3">
      <c r="B100" s="3" t="s">
        <v>201</v>
      </c>
      <c r="C100" t="str">
        <f>VLOOKUP(Table1[[#This Row],[KODE BARANG ]],DATA!B101:C173,2,FALSE)</f>
        <v xml:space="preserve">RAHANG TUNA </v>
      </c>
    </row>
    <row r="101" spans="2:3">
      <c r="B101" s="4" t="s">
        <v>204</v>
      </c>
      <c r="C101" t="str">
        <f>VLOOKUP(Table1[[#This Row],[KODE BARANG ]],DATA!B102:C174,2,FALSE)</f>
        <v xml:space="preserve">DADA TUNA </v>
      </c>
    </row>
    <row r="102" spans="2:3">
      <c r="B102" s="3" t="s">
        <v>206</v>
      </c>
      <c r="C102" t="str">
        <f>VLOOKUP(Table1[[#This Row],[KODE BARANG ]],DATA!B103:C175,2,FALSE)</f>
        <v>WIPOL</v>
      </c>
    </row>
    <row r="103" spans="2:3">
      <c r="B103" s="4" t="s">
        <v>207</v>
      </c>
      <c r="C103" t="str">
        <f>VLOOKUP(Table1[[#This Row],[KODE BARANG ]],DATA!B104:C176,2,FALSE)</f>
        <v xml:space="preserve">CLING </v>
      </c>
    </row>
    <row r="104" spans="2:3">
      <c r="B104" s="3" t="s">
        <v>208</v>
      </c>
      <c r="C104" t="str">
        <f>VLOOKUP(Table1[[#This Row],[KODE BARANG ]],DATA!B105:C177,2,FALSE)</f>
        <v xml:space="preserve">KANTONG SAMPAH JUMBO </v>
      </c>
    </row>
    <row r="105" spans="2:3">
      <c r="B105" s="4" t="s">
        <v>209</v>
      </c>
      <c r="C105" t="str">
        <f>VLOOKUP(Table1[[#This Row],[KODE BARANG ]],DATA!B106:C178,2,FALSE)</f>
        <v>KANTONG SAMPAH BESAR</v>
      </c>
    </row>
  </sheetData>
  <mergeCells count="1">
    <mergeCell ref="A1:E1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DATA!$B$5:$B$78</xm:f>
          </x14:formula1>
          <xm:sqref>B4:B105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0BFC4-C659-448B-9104-52D21924EB39}">
  <dimension ref="A1:I105"/>
  <sheetViews>
    <sheetView zoomScale="55" workbookViewId="0">
      <selection activeCell="C47" sqref="C46:C47"/>
    </sheetView>
  </sheetViews>
  <sheetFormatPr defaultColWidth="9" defaultRowHeight="13.5"/>
  <cols>
    <col min="1" max="1" width="18.125" customWidth="1"/>
    <col min="2" max="2" width="19.625" bestFit="1" customWidth="1"/>
    <col min="3" max="3" width="34.625" style="25" customWidth="1"/>
    <col min="4" max="4" width="34.625" style="1" customWidth="1"/>
    <col min="5" max="5" width="34.625" customWidth="1"/>
    <col min="6" max="6" width="16.875" style="5" customWidth="1"/>
    <col min="7" max="7" width="18.125" style="1" customWidth="1"/>
    <col min="8" max="8" width="14.5" bestFit="1" customWidth="1"/>
    <col min="9" max="9" width="31.625" bestFit="1" customWidth="1"/>
  </cols>
  <sheetData>
    <row r="1" spans="1:9" ht="22.5" customHeight="1">
      <c r="A1" s="41" t="s">
        <v>231</v>
      </c>
      <c r="B1" s="40"/>
      <c r="C1" s="40"/>
      <c r="D1" s="40"/>
      <c r="E1" s="40"/>
      <c r="F1" s="40"/>
      <c r="G1" s="40"/>
    </row>
    <row r="2" spans="1:9" ht="14.25">
      <c r="D2" s="22" t="s">
        <v>232</v>
      </c>
    </row>
    <row r="3" spans="1:9" s="27" customFormat="1" ht="15">
      <c r="A3" s="27" t="s">
        <v>226</v>
      </c>
      <c r="B3" s="27" t="s">
        <v>213</v>
      </c>
      <c r="C3" s="27" t="s">
        <v>2</v>
      </c>
      <c r="D3" s="27" t="s">
        <v>225</v>
      </c>
      <c r="E3" s="27" t="s">
        <v>223</v>
      </c>
      <c r="F3" s="28" t="s">
        <v>227</v>
      </c>
      <c r="G3" s="29" t="s">
        <v>228</v>
      </c>
      <c r="H3" s="29" t="s">
        <v>229</v>
      </c>
      <c r="I3" s="29" t="s">
        <v>230</v>
      </c>
    </row>
    <row r="4" spans="1:9" ht="15">
      <c r="A4" s="9"/>
      <c r="B4" s="23" t="s">
        <v>5</v>
      </c>
      <c r="C4" s="26" t="str">
        <f>VLOOKUP(Table14[[#This Row],[KODE BARANG ]],DATA!B5:C78,2,FALSE)</f>
        <v>BERAS 10kg</v>
      </c>
      <c r="D4" s="14">
        <v>0</v>
      </c>
      <c r="E4" s="9"/>
      <c r="F4" s="17">
        <v>0</v>
      </c>
      <c r="G4" s="21">
        <v>2</v>
      </c>
      <c r="H4" s="3"/>
      <c r="I4" s="3"/>
    </row>
    <row r="5" spans="1:9" ht="15">
      <c r="A5" s="9" t="s">
        <v>215</v>
      </c>
      <c r="B5" s="23" t="s">
        <v>7</v>
      </c>
      <c r="C5" s="26" t="str">
        <f>VLOOKUP(Table14[[#This Row],[KODE BARANG ]],DATA!B6:C78,2,FALSE)</f>
        <v xml:space="preserve">MINYAK GORENG </v>
      </c>
      <c r="D5" s="14">
        <v>41000</v>
      </c>
      <c r="E5" s="9"/>
      <c r="F5" s="17" t="s">
        <v>166</v>
      </c>
      <c r="G5" s="21" t="s">
        <v>166</v>
      </c>
      <c r="H5" s="3"/>
      <c r="I5" s="3"/>
    </row>
    <row r="6" spans="1:9" ht="15">
      <c r="A6" s="9"/>
      <c r="B6" s="23" t="s">
        <v>10</v>
      </c>
      <c r="C6" s="26" t="str">
        <f>VLOOKUP(Table14[[#This Row],[KODE BARANG ]],DATA!B7:C79,2,FALSE)</f>
        <v xml:space="preserve">SEGITIGA BIRU </v>
      </c>
      <c r="D6" s="14">
        <v>14000</v>
      </c>
      <c r="E6" s="9"/>
      <c r="F6" s="17">
        <v>0</v>
      </c>
      <c r="G6" s="21">
        <v>1</v>
      </c>
      <c r="H6" s="3"/>
      <c r="I6" s="3"/>
    </row>
    <row r="7" spans="1:9" ht="15">
      <c r="A7" s="9"/>
      <c r="B7" s="23" t="s">
        <v>12</v>
      </c>
      <c r="C7" s="26" t="str">
        <f>VLOOKUP(Table14[[#This Row],[KODE BARANG ]],DATA!B8:C80,2,FALSE)</f>
        <v>TEPUNG TAPIOKA</v>
      </c>
      <c r="D7" s="14">
        <v>11000</v>
      </c>
      <c r="E7" s="9"/>
      <c r="F7" s="17">
        <v>0</v>
      </c>
      <c r="G7" s="21" t="s">
        <v>166</v>
      </c>
      <c r="H7" s="3"/>
      <c r="I7" s="3"/>
    </row>
    <row r="8" spans="1:9" ht="15">
      <c r="A8" s="9"/>
      <c r="B8" s="23" t="s">
        <v>14</v>
      </c>
      <c r="C8" s="26" t="str">
        <f>VLOOKUP(Table14[[#This Row],[KODE BARANG ]],DATA!B9:C81,2,FALSE)</f>
        <v>TEPUNG BERAS</v>
      </c>
      <c r="D8" s="14">
        <v>9000</v>
      </c>
      <c r="E8" s="9"/>
      <c r="F8" s="17">
        <v>0</v>
      </c>
      <c r="G8" s="21">
        <v>1</v>
      </c>
      <c r="H8" s="3"/>
      <c r="I8" s="3"/>
    </row>
    <row r="9" spans="1:9" ht="15">
      <c r="A9" s="9"/>
      <c r="B9" s="23" t="s">
        <v>16</v>
      </c>
      <c r="C9" s="26" t="str">
        <f>VLOOKUP(Table14[[#This Row],[KODE BARANG ]],DATA!B10:C82,2,FALSE)</f>
        <v xml:space="preserve">TEPUNG KOBE </v>
      </c>
      <c r="D9" s="14">
        <v>23000</v>
      </c>
      <c r="E9" s="9"/>
      <c r="F9" s="17">
        <v>0</v>
      </c>
      <c r="G9" s="21" t="s">
        <v>166</v>
      </c>
      <c r="H9" s="3"/>
      <c r="I9" s="3"/>
    </row>
    <row r="10" spans="1:9" ht="15">
      <c r="A10" s="9"/>
      <c r="B10" s="23" t="s">
        <v>18</v>
      </c>
      <c r="C10" s="26" t="str">
        <f>VLOOKUP(Table14[[#This Row],[KODE BARANG ]],DATA!B11:C83,2,FALSE)</f>
        <v>MASAKO</v>
      </c>
      <c r="D10" s="14">
        <v>34000</v>
      </c>
      <c r="E10" s="9"/>
      <c r="F10" s="17">
        <v>12</v>
      </c>
      <c r="G10" s="21">
        <v>1</v>
      </c>
      <c r="H10" s="3"/>
      <c r="I10" s="3"/>
    </row>
    <row r="11" spans="1:9" ht="15">
      <c r="A11" s="9"/>
      <c r="B11" s="23" t="s">
        <v>20</v>
      </c>
      <c r="C11" s="26" t="str">
        <f>VLOOKUP(Table14[[#This Row],[KODE BARANG ]],DATA!B12:C84,2,FALSE)</f>
        <v>AJINAMOTO</v>
      </c>
      <c r="D11" s="14">
        <v>46000</v>
      </c>
      <c r="E11" s="9"/>
      <c r="F11" s="17">
        <v>0</v>
      </c>
      <c r="G11" s="21">
        <v>1</v>
      </c>
      <c r="H11" s="3"/>
      <c r="I11" s="3"/>
    </row>
    <row r="12" spans="1:9" ht="15">
      <c r="A12" s="9"/>
      <c r="B12" s="23" t="s">
        <v>22</v>
      </c>
      <c r="C12" s="26" t="str">
        <f>VLOOKUP(Table14[[#This Row],[KODE BARANG ]],DATA!B13:C85,2,FALSE)</f>
        <v xml:space="preserve">GARAM </v>
      </c>
      <c r="D12" s="14">
        <v>0</v>
      </c>
      <c r="E12" s="9"/>
      <c r="F12" s="17">
        <v>0</v>
      </c>
      <c r="G12" s="21">
        <v>1</v>
      </c>
      <c r="H12" s="3"/>
      <c r="I12" s="3"/>
    </row>
    <row r="13" spans="1:9" ht="15">
      <c r="A13" s="9"/>
      <c r="B13" s="23" t="s">
        <v>24</v>
      </c>
      <c r="C13" s="26" t="str">
        <f>VLOOKUP(Table14[[#This Row],[KODE BARANG ]],DATA!B14:C87,2,FALSE)</f>
        <v>MAIZENAKU</v>
      </c>
      <c r="D13" s="14">
        <v>25000</v>
      </c>
      <c r="E13" s="9"/>
      <c r="F13" s="17"/>
      <c r="G13" s="21" t="s">
        <v>166</v>
      </c>
      <c r="H13" s="3"/>
      <c r="I13" s="3"/>
    </row>
    <row r="14" spans="1:9" ht="15">
      <c r="A14" s="9"/>
      <c r="B14" s="23" t="s">
        <v>26</v>
      </c>
      <c r="C14" s="26" t="str">
        <f>VLOOKUP(Table14[[#This Row],[KODE BARANG ]],DATA!B15:C88,2,FALSE)</f>
        <v>MENTEGA BALOK</v>
      </c>
      <c r="D14" s="14">
        <v>0</v>
      </c>
      <c r="E14" s="9"/>
      <c r="F14" s="17"/>
      <c r="G14" s="21" t="s">
        <v>166</v>
      </c>
      <c r="H14" s="3"/>
      <c r="I14" s="3"/>
    </row>
    <row r="15" spans="1:9" ht="15">
      <c r="A15" s="9"/>
      <c r="B15" s="23" t="s">
        <v>28</v>
      </c>
      <c r="C15" s="26" t="str">
        <f>VLOOKUP(Table14[[#This Row],[KODE BARANG ]],DATA!B16:C89,2,FALSE)</f>
        <v xml:space="preserve">BAWANG GORENG </v>
      </c>
      <c r="D15" s="14">
        <v>9000</v>
      </c>
      <c r="E15" s="9"/>
      <c r="F15" s="17"/>
      <c r="G15" s="21" t="s">
        <v>166</v>
      </c>
      <c r="H15" s="3"/>
      <c r="I15" s="3"/>
    </row>
    <row r="16" spans="1:9" ht="15">
      <c r="A16" s="9"/>
      <c r="B16" s="23" t="s">
        <v>30</v>
      </c>
      <c r="C16" s="26" t="str">
        <f>VLOOKUP(Table14[[#This Row],[KODE BARANG ]],DATA!B17:C90,2,FALSE)</f>
        <v xml:space="preserve">TERASI UDANG </v>
      </c>
      <c r="D16" s="14">
        <v>10000</v>
      </c>
      <c r="E16" s="9"/>
      <c r="F16" s="17"/>
      <c r="G16" s="21">
        <v>1</v>
      </c>
      <c r="H16" s="3"/>
      <c r="I16" s="3"/>
    </row>
    <row r="17" spans="1:9" ht="15">
      <c r="A17" s="9"/>
      <c r="B17" s="23" t="s">
        <v>33</v>
      </c>
      <c r="C17" s="26" t="str">
        <f>VLOOKUP(Table14[[#This Row],[KODE BARANG ]],DATA!B18:C91,2,FALSE)</f>
        <v xml:space="preserve">PEWARNA PANGAN MERAH CABE </v>
      </c>
      <c r="D17" s="14">
        <v>0</v>
      </c>
      <c r="E17" s="9"/>
      <c r="F17" s="17"/>
      <c r="G17" s="21" t="s">
        <v>166</v>
      </c>
      <c r="H17" s="3"/>
      <c r="I17" s="3"/>
    </row>
    <row r="18" spans="1:9" ht="15">
      <c r="A18" s="9"/>
      <c r="B18" s="23" t="s">
        <v>35</v>
      </c>
      <c r="C18" s="26" t="str">
        <f>VLOOKUP(Table14[[#This Row],[KODE BARANG ]],DATA!B19:C92,2,FALSE)</f>
        <v>KERUPUK PESTA</v>
      </c>
      <c r="D18" s="14">
        <v>0</v>
      </c>
      <c r="E18" s="9"/>
      <c r="F18" s="17"/>
      <c r="G18" s="21" t="s">
        <v>166</v>
      </c>
      <c r="H18" s="3"/>
      <c r="I18" s="3"/>
    </row>
    <row r="19" spans="1:9" ht="15">
      <c r="A19" s="9"/>
      <c r="B19" s="23" t="s">
        <v>37</v>
      </c>
      <c r="C19" s="26" t="str">
        <f>VLOOKUP(Table14[[#This Row],[KODE BARANG ]],DATA!B20:C93,2,FALSE)</f>
        <v xml:space="preserve">KERUPUK FINNA </v>
      </c>
      <c r="D19" s="14">
        <v>0</v>
      </c>
      <c r="E19" s="9"/>
      <c r="F19" s="17"/>
      <c r="G19" s="21" t="s">
        <v>166</v>
      </c>
      <c r="H19" s="3"/>
      <c r="I19" s="3"/>
    </row>
    <row r="20" spans="1:9" ht="15">
      <c r="A20" s="9"/>
      <c r="B20" s="23" t="s">
        <v>39</v>
      </c>
      <c r="C20" s="26" t="str">
        <f>VLOOKUP(Table14[[#This Row],[KODE BARANG ]],DATA!B21:C94,2,FALSE)</f>
        <v>MUSHROOM</v>
      </c>
      <c r="D20" s="14">
        <v>20000</v>
      </c>
      <c r="E20" s="9"/>
      <c r="F20" s="17"/>
      <c r="G20" s="21" t="s">
        <v>166</v>
      </c>
      <c r="H20" s="3"/>
      <c r="I20" s="3"/>
    </row>
    <row r="21" spans="1:9" ht="15">
      <c r="A21" s="9"/>
      <c r="B21" s="23" t="s">
        <v>41</v>
      </c>
      <c r="C21" s="26" t="str">
        <f>VLOOKUP(Table14[[#This Row],[KODE BARANG ]],DATA!B22:C95,2,FALSE)</f>
        <v>HERCULES</v>
      </c>
      <c r="D21" s="14">
        <v>38000</v>
      </c>
      <c r="E21" s="9"/>
      <c r="F21" s="17"/>
      <c r="G21" s="21">
        <v>1</v>
      </c>
      <c r="H21" s="3"/>
      <c r="I21" s="3"/>
    </row>
    <row r="22" spans="1:9" ht="15">
      <c r="A22" s="9"/>
      <c r="B22" s="23" t="s">
        <v>43</v>
      </c>
      <c r="C22" s="26" t="str">
        <f>VLOOKUP(Table14[[#This Row],[KODE BARANG ]],DATA!B23:C96,2,FALSE)</f>
        <v>MADU TJ</v>
      </c>
      <c r="D22" s="14">
        <v>62000</v>
      </c>
      <c r="E22" s="9"/>
      <c r="F22" s="17"/>
      <c r="G22" s="21">
        <v>2</v>
      </c>
      <c r="H22" s="3"/>
      <c r="I22" s="3"/>
    </row>
    <row r="23" spans="1:9" ht="15">
      <c r="A23" s="9"/>
      <c r="B23" s="23" t="s">
        <v>45</v>
      </c>
      <c r="C23" s="26" t="str">
        <f>VLOOKUP(Table14[[#This Row],[KODE BARANG ]],DATA!B24:C97,2,FALSE)</f>
        <v xml:space="preserve">SODA KUE </v>
      </c>
      <c r="D23" s="14">
        <v>0</v>
      </c>
      <c r="E23" s="9"/>
      <c r="F23" s="17"/>
      <c r="G23" s="21">
        <v>1</v>
      </c>
      <c r="H23" s="3"/>
      <c r="I23" s="3"/>
    </row>
    <row r="24" spans="1:9" ht="15">
      <c r="A24" s="9"/>
      <c r="B24" s="23" t="s">
        <v>47</v>
      </c>
      <c r="C24" s="26" t="str">
        <f>VLOOKUP(Table14[[#This Row],[KODE BARANG ]],DATA!B25:C98,2,FALSE)</f>
        <v xml:space="preserve">CUKA DAPUR </v>
      </c>
      <c r="D24" s="14">
        <v>12000</v>
      </c>
      <c r="E24" s="9"/>
      <c r="F24" s="17"/>
      <c r="G24" s="21" t="s">
        <v>166</v>
      </c>
      <c r="H24" s="3"/>
      <c r="I24" s="3"/>
    </row>
    <row r="25" spans="1:9" ht="15">
      <c r="A25" s="9"/>
      <c r="B25" s="23" t="s">
        <v>50</v>
      </c>
      <c r="C25" s="26" t="str">
        <f>VLOOKUP(Table14[[#This Row],[KODE BARANG ]],DATA!B26:C99,2,FALSE)</f>
        <v xml:space="preserve">SAUS TIRAM CAP PANDA </v>
      </c>
      <c r="D25" s="14">
        <v>91000</v>
      </c>
      <c r="E25" s="9"/>
      <c r="F25" s="17">
        <v>6</v>
      </c>
      <c r="G25" s="21">
        <v>3</v>
      </c>
      <c r="H25" s="3"/>
      <c r="I25" s="3"/>
    </row>
    <row r="26" spans="1:9" ht="15">
      <c r="A26" s="9"/>
      <c r="B26" s="23" t="s">
        <v>52</v>
      </c>
      <c r="C26" s="26" t="str">
        <f>VLOOKUP(Table14[[#This Row],[KODE BARANG ]],DATA!B27:C100,2,FALSE)</f>
        <v xml:space="preserve">KECAP INGGRIS </v>
      </c>
      <c r="D26" s="14">
        <v>52000</v>
      </c>
      <c r="E26" s="9"/>
      <c r="F26" s="17"/>
      <c r="G26" s="21" t="s">
        <v>166</v>
      </c>
      <c r="H26" s="3"/>
      <c r="I26" s="3"/>
    </row>
    <row r="27" spans="1:9" ht="15">
      <c r="A27" s="9"/>
      <c r="B27" s="23" t="s">
        <v>54</v>
      </c>
      <c r="C27" s="26" t="str">
        <f>VLOOKUP(Table14[[#This Row],[KODE BARANG ]],DATA!B28:C101,2,FALSE)</f>
        <v xml:space="preserve">ANCIU PENYEDAP MAKANAN </v>
      </c>
      <c r="D27" s="14">
        <v>0</v>
      </c>
      <c r="E27" s="9"/>
      <c r="F27" s="17"/>
      <c r="G27" s="21" t="s">
        <v>166</v>
      </c>
      <c r="H27" s="3"/>
      <c r="I27" s="3"/>
    </row>
    <row r="28" spans="1:9" ht="15">
      <c r="A28" s="9"/>
      <c r="B28" s="23" t="s">
        <v>56</v>
      </c>
      <c r="C28" s="26" t="str">
        <f>VLOOKUP(Table14[[#This Row],[KODE BARANG ]],DATA!B29:C102,2,FALSE)</f>
        <v xml:space="preserve">KECAP HITAM </v>
      </c>
      <c r="D28" s="14">
        <v>0</v>
      </c>
      <c r="E28" s="9"/>
      <c r="F28" s="17"/>
      <c r="G28" s="21" t="s">
        <v>166</v>
      </c>
      <c r="H28" s="3"/>
      <c r="I28" s="3"/>
    </row>
    <row r="29" spans="1:9" ht="15">
      <c r="A29" s="9"/>
      <c r="B29" s="23" t="s">
        <v>58</v>
      </c>
      <c r="C29" s="26" t="str">
        <f>VLOOKUP(Table14[[#This Row],[KODE BARANG ]],DATA!B30:C103,2,FALSE)</f>
        <v xml:space="preserve">MINYAK WIJEN </v>
      </c>
      <c r="D29" s="14">
        <v>47000</v>
      </c>
      <c r="E29" s="9"/>
      <c r="F29" s="17"/>
      <c r="G29" s="21">
        <v>2</v>
      </c>
      <c r="H29" s="3"/>
      <c r="I29" s="3"/>
    </row>
    <row r="30" spans="1:9" ht="15">
      <c r="A30" s="9"/>
      <c r="B30" s="23" t="s">
        <v>60</v>
      </c>
      <c r="C30" s="26" t="str">
        <f>VLOOKUP(Table14[[#This Row],[KODE BARANG ]],DATA!B31:C104,2,FALSE)</f>
        <v xml:space="preserve">KECAP IKAN FINNA </v>
      </c>
      <c r="D30" s="14">
        <v>0</v>
      </c>
      <c r="E30" s="9"/>
      <c r="F30" s="17"/>
      <c r="G30" s="21" t="s">
        <v>166</v>
      </c>
      <c r="H30" s="3"/>
      <c r="I30" s="3"/>
    </row>
    <row r="31" spans="1:9" ht="15">
      <c r="A31" s="9"/>
      <c r="B31" s="23" t="s">
        <v>62</v>
      </c>
      <c r="C31" s="26" t="str">
        <f>VLOOKUP(Table14[[#This Row],[KODE BARANG ]],DATA!B32:C105,2,FALSE)</f>
        <v xml:space="preserve">SAUS RAJA RASA </v>
      </c>
      <c r="D31" s="14">
        <v>0</v>
      </c>
      <c r="E31" s="9"/>
      <c r="F31" s="17"/>
      <c r="G31" s="21" t="s">
        <v>166</v>
      </c>
      <c r="H31" s="3"/>
      <c r="I31" s="3"/>
    </row>
    <row r="32" spans="1:9" ht="15">
      <c r="A32" s="9"/>
      <c r="B32" s="23" t="s">
        <v>64</v>
      </c>
      <c r="C32" s="26" t="str">
        <f>VLOOKUP(Table14[[#This Row],[KODE BARANG ]],DATA!B33:C106,2,FALSE)</f>
        <v>KECAP IKAN ROYAL</v>
      </c>
      <c r="D32" s="14">
        <v>0</v>
      </c>
      <c r="E32" s="9"/>
      <c r="F32" s="17"/>
      <c r="G32" s="21" t="s">
        <v>166</v>
      </c>
      <c r="H32" s="3"/>
      <c r="I32" s="3"/>
    </row>
    <row r="33" spans="1:9" ht="15">
      <c r="A33" s="9"/>
      <c r="B33" s="23" t="s">
        <v>66</v>
      </c>
      <c r="C33" s="26" t="str">
        <f>VLOOKUP(Table14[[#This Row],[KODE BARANG ]],DATA!B34:C106,2,FALSE)</f>
        <v xml:space="preserve">KECAP ASIN </v>
      </c>
      <c r="D33" s="14">
        <v>0</v>
      </c>
      <c r="E33" s="9"/>
      <c r="F33" s="17"/>
      <c r="G33" s="21" t="s">
        <v>166</v>
      </c>
      <c r="H33" s="3"/>
      <c r="I33" s="3"/>
    </row>
    <row r="34" spans="1:9" ht="15">
      <c r="A34" s="9"/>
      <c r="B34" s="23" t="s">
        <v>68</v>
      </c>
      <c r="C34" s="26" t="str">
        <f>VLOOKUP(Table14[[#This Row],[KODE BARANG ]],DATA!B35:C107,2,FALSE)</f>
        <v xml:space="preserve">KECAP BANGO </v>
      </c>
      <c r="D34" s="14">
        <v>0</v>
      </c>
      <c r="E34" s="9"/>
      <c r="F34" s="17"/>
      <c r="G34" s="21">
        <v>1</v>
      </c>
      <c r="H34" s="3"/>
      <c r="I34" s="3"/>
    </row>
    <row r="35" spans="1:9" ht="15">
      <c r="A35" s="9"/>
      <c r="B35" s="23" t="s">
        <v>70</v>
      </c>
      <c r="C35" s="26" t="str">
        <f>VLOOKUP(Table14[[#This Row],[KODE BARANG ]],DATA!B36:C108,2,FALSE)</f>
        <v xml:space="preserve">SAUS ABC SAMBEL ASLI </v>
      </c>
      <c r="D35" s="14">
        <v>0</v>
      </c>
      <c r="E35" s="9"/>
      <c r="F35" s="17"/>
      <c r="G35" s="21" t="s">
        <v>166</v>
      </c>
      <c r="H35" s="3"/>
      <c r="I35" s="3"/>
    </row>
    <row r="36" spans="1:9" ht="15">
      <c r="A36" s="9"/>
      <c r="B36" s="23" t="s">
        <v>72</v>
      </c>
      <c r="C36" s="26" t="str">
        <f>VLOOKUP(Table14[[#This Row],[KODE BARANG ]],DATA!B37:C109,2,FALSE)</f>
        <v xml:space="preserve">SAUS ABC TOMAT </v>
      </c>
      <c r="D36" s="14">
        <v>20000</v>
      </c>
      <c r="E36" s="9"/>
      <c r="F36" s="17"/>
      <c r="G36" s="21" t="s">
        <v>166</v>
      </c>
      <c r="H36" s="3"/>
      <c r="I36" s="3"/>
    </row>
    <row r="37" spans="1:9" ht="15">
      <c r="A37" s="9"/>
      <c r="B37" s="23" t="s">
        <v>74</v>
      </c>
      <c r="C37" s="26" t="str">
        <f>VLOOKUP(Table14[[#This Row],[KODE BARANG ]],DATA!B38:C110,2,FALSE)</f>
        <v xml:space="preserve">SANTAN KARA SUN </v>
      </c>
      <c r="D37" s="14">
        <v>18000</v>
      </c>
      <c r="E37" s="9"/>
      <c r="F37" s="17"/>
      <c r="G37" s="21" t="s">
        <v>166</v>
      </c>
      <c r="H37" s="3"/>
      <c r="I37" s="3"/>
    </row>
    <row r="38" spans="1:9" ht="15">
      <c r="A38" s="9"/>
      <c r="B38" s="23" t="s">
        <v>76</v>
      </c>
      <c r="C38" s="26" t="str">
        <f>VLOOKUP(Table14[[#This Row],[KODE BARANG ]],DATA!B39:C111,2,FALSE)</f>
        <v xml:space="preserve">SAUS TOMAT CAP BAGONG </v>
      </c>
      <c r="D38" s="14">
        <v>0</v>
      </c>
      <c r="E38" s="9"/>
      <c r="F38" s="17"/>
      <c r="G38" s="21" t="s">
        <v>166</v>
      </c>
      <c r="H38" s="3"/>
      <c r="I38" s="3"/>
    </row>
    <row r="39" spans="1:9" ht="15">
      <c r="A39" s="9" t="s">
        <v>215</v>
      </c>
      <c r="B39" s="23" t="s">
        <v>78</v>
      </c>
      <c r="C39" s="26" t="str">
        <f>VLOOKUP(Table14[[#This Row],[KODE BARANG ]],DATA!B40:C112,2,FALSE)</f>
        <v xml:space="preserve">SUSU UHT </v>
      </c>
      <c r="D39" s="14">
        <v>19000</v>
      </c>
      <c r="E39" s="9"/>
      <c r="F39" s="17" t="s">
        <v>166</v>
      </c>
      <c r="G39" s="21">
        <v>12</v>
      </c>
      <c r="H39" s="3"/>
      <c r="I39" s="3"/>
    </row>
    <row r="40" spans="1:9" ht="15">
      <c r="A40" s="9" t="s">
        <v>215</v>
      </c>
      <c r="B40" s="23" t="s">
        <v>80</v>
      </c>
      <c r="C40" s="26" t="str">
        <f>VLOOKUP(Table14[[#This Row],[KODE BARANG ]],DATA!B41:C113,2,FALSE)</f>
        <v>MAX CREAMER</v>
      </c>
      <c r="D40" s="14">
        <v>49000</v>
      </c>
      <c r="E40" s="9"/>
      <c r="F40" s="17" t="s">
        <v>166</v>
      </c>
      <c r="G40" s="21">
        <v>1</v>
      </c>
      <c r="H40" s="3"/>
      <c r="I40" s="3"/>
    </row>
    <row r="41" spans="1:9" ht="15">
      <c r="A41" s="9"/>
      <c r="B41" s="23" t="s">
        <v>82</v>
      </c>
      <c r="C41" s="26" t="str">
        <f>VLOOKUP(Table14[[#This Row],[KODE BARANG ]],DATA!B42:C114,2,FALSE)</f>
        <v xml:space="preserve">SUSU EVAPORASI </v>
      </c>
      <c r="D41" s="14">
        <v>0</v>
      </c>
      <c r="E41" s="9"/>
      <c r="F41" s="17"/>
      <c r="G41" s="21">
        <v>1</v>
      </c>
      <c r="H41" s="3"/>
      <c r="I41" s="3"/>
    </row>
    <row r="42" spans="1:9" ht="15">
      <c r="A42" s="9" t="s">
        <v>215</v>
      </c>
      <c r="B42" s="23" t="s">
        <v>84</v>
      </c>
      <c r="C42" s="26" t="str">
        <f>VLOOKUP(Table14[[#This Row],[KODE BARANG ]],DATA!B43:C115,2,FALSE)</f>
        <v xml:space="preserve">MORING TOPPING COKLAT </v>
      </c>
      <c r="D42" s="14">
        <v>34000</v>
      </c>
      <c r="E42" s="9"/>
      <c r="F42" s="17" t="s">
        <v>166</v>
      </c>
      <c r="G42" s="21">
        <v>2</v>
      </c>
      <c r="H42" s="3"/>
      <c r="I42" s="3"/>
    </row>
    <row r="43" spans="1:9" ht="15">
      <c r="A43" s="9"/>
      <c r="B43" s="23" t="s">
        <v>86</v>
      </c>
      <c r="C43" s="26" t="str">
        <f>VLOOKUP(Table14[[#This Row],[KODE BARANG ]],DATA!B44:C116,2,FALSE)</f>
        <v xml:space="preserve">MORING TOPPING CARAMEL </v>
      </c>
      <c r="D43" s="14">
        <v>33000</v>
      </c>
      <c r="E43" s="9"/>
      <c r="F43" s="17"/>
      <c r="G43" s="21" t="s">
        <v>166</v>
      </c>
      <c r="H43" s="3"/>
      <c r="I43" s="3"/>
    </row>
    <row r="44" spans="1:9" ht="15">
      <c r="A44" s="9"/>
      <c r="B44" s="23" t="s">
        <v>88</v>
      </c>
      <c r="C44" s="26" t="str">
        <f>VLOOKUP(Table14[[#This Row],[KODE BARANG ]],DATA!B45:C117,2,FALSE)</f>
        <v>MORING TOPPING STRAWBERY</v>
      </c>
      <c r="D44" s="14">
        <v>33000</v>
      </c>
      <c r="E44" s="9"/>
      <c r="F44" s="17"/>
      <c r="G44" s="21" t="s">
        <v>166</v>
      </c>
      <c r="H44" s="3"/>
      <c r="I44" s="3"/>
    </row>
    <row r="45" spans="1:9" ht="15">
      <c r="A45" s="9"/>
      <c r="B45" s="23" t="s">
        <v>90</v>
      </c>
      <c r="C45" s="26" t="str">
        <f>VLOOKUP(Table14[[#This Row],[KODE BARANG ]],DATA!B46:C118,2,FALSE)</f>
        <v>MARJAN LECI</v>
      </c>
      <c r="D45" s="14">
        <v>0</v>
      </c>
      <c r="E45" s="9"/>
      <c r="F45" s="17"/>
      <c r="G45" s="21" t="s">
        <v>166</v>
      </c>
      <c r="H45" s="3"/>
      <c r="I45" s="3"/>
    </row>
    <row r="46" spans="1:9" ht="15">
      <c r="A46" s="9"/>
      <c r="B46" s="23" t="s">
        <v>92</v>
      </c>
      <c r="C46" s="26" t="str">
        <f>VLOOKUP(Table14[[#This Row],[KODE BARANG ]],DATA!B47:C119,2,FALSE)</f>
        <v>MARJAN VANILA</v>
      </c>
      <c r="D46" s="14">
        <v>0</v>
      </c>
      <c r="E46" s="9"/>
      <c r="F46" s="17"/>
      <c r="G46" s="21" t="s">
        <v>166</v>
      </c>
      <c r="H46" s="3"/>
      <c r="I46" s="3"/>
    </row>
    <row r="47" spans="1:9" ht="15">
      <c r="A47" s="9"/>
      <c r="B47" s="23" t="s">
        <v>94</v>
      </c>
      <c r="C47" s="26" t="str">
        <f>VLOOKUP(Table14[[#This Row],[KODE BARANG ]],DATA!B48:C120,2,FALSE)</f>
        <v xml:space="preserve">ABC COCOPANDAN </v>
      </c>
      <c r="D47" s="14">
        <v>0</v>
      </c>
      <c r="E47" s="9"/>
      <c r="F47" s="17"/>
      <c r="G47" s="21" t="s">
        <v>166</v>
      </c>
      <c r="H47" s="3"/>
      <c r="I47" s="3"/>
    </row>
    <row r="48" spans="1:9" ht="15">
      <c r="A48" s="9"/>
      <c r="B48" s="23" t="s">
        <v>96</v>
      </c>
      <c r="C48" s="26" t="str">
        <f>VLOOKUP(Table14[[#This Row],[KODE BARANG ]],DATA!B49:C121,2,FALSE)</f>
        <v>DENALI VANILA</v>
      </c>
      <c r="D48" s="14">
        <v>135000</v>
      </c>
      <c r="E48" s="9"/>
      <c r="F48" s="17"/>
      <c r="G48" s="21" t="s">
        <v>166</v>
      </c>
      <c r="H48" s="3"/>
      <c r="I48" s="3"/>
    </row>
    <row r="49" spans="1:9" ht="15">
      <c r="A49" s="9"/>
      <c r="B49" s="23" t="s">
        <v>98</v>
      </c>
      <c r="C49" s="26" t="str">
        <f>VLOOKUP(Table14[[#This Row],[KODE BARANG ]],DATA!B50:C122,2,FALSE)</f>
        <v>DENALI TIRAMISU</v>
      </c>
      <c r="D49" s="14">
        <v>135000</v>
      </c>
      <c r="E49" s="9"/>
      <c r="F49" s="17"/>
      <c r="G49" s="21" t="s">
        <v>166</v>
      </c>
      <c r="H49" s="3"/>
      <c r="I49" s="3"/>
    </row>
    <row r="50" spans="1:9" ht="15">
      <c r="A50" s="9"/>
      <c r="B50" s="23" t="s">
        <v>100</v>
      </c>
      <c r="C50" s="26" t="str">
        <f>VLOOKUP(Table14[[#This Row],[KODE BARANG ]],DATA!B51:C123,2,FALSE)</f>
        <v>DENALI STRAWBERY</v>
      </c>
      <c r="D50" s="14">
        <v>135000</v>
      </c>
      <c r="E50" s="9"/>
      <c r="F50" s="17"/>
      <c r="G50" s="21" t="s">
        <v>166</v>
      </c>
      <c r="H50" s="3"/>
      <c r="I50" s="3"/>
    </row>
    <row r="51" spans="1:9" ht="15">
      <c r="A51" s="9"/>
      <c r="B51" s="23" t="s">
        <v>102</v>
      </c>
      <c r="C51" s="26" t="str">
        <f>VLOOKUP(Table14[[#This Row],[KODE BARANG ]],DATA!B52:C124,2,FALSE)</f>
        <v>DENALI GRENADINE</v>
      </c>
      <c r="D51" s="14">
        <v>135000</v>
      </c>
      <c r="E51" s="9"/>
      <c r="F51" s="17"/>
      <c r="G51" s="21" t="s">
        <v>166</v>
      </c>
      <c r="H51" s="3"/>
      <c r="I51" s="3"/>
    </row>
    <row r="52" spans="1:9" ht="15">
      <c r="A52" s="9"/>
      <c r="B52" s="23" t="s">
        <v>104</v>
      </c>
      <c r="C52" s="26" t="str">
        <f>VLOOKUP(Table14[[#This Row],[KODE BARANG ]],DATA!B53:C125,2,FALSE)</f>
        <v>TORANI MOJITO MINT</v>
      </c>
      <c r="D52" s="14">
        <v>130000</v>
      </c>
      <c r="E52" s="9"/>
      <c r="F52" s="17"/>
      <c r="G52" s="21" t="s">
        <v>166</v>
      </c>
      <c r="H52" s="3"/>
      <c r="I52" s="3"/>
    </row>
    <row r="53" spans="1:9" ht="15">
      <c r="A53" s="9"/>
      <c r="B53" s="23" t="s">
        <v>106</v>
      </c>
      <c r="C53" s="26" t="str">
        <f>VLOOKUP(Table14[[#This Row],[KODE BARANG ]],DATA!B54:C126,2,FALSE)</f>
        <v xml:space="preserve">TORANI CARAMEL </v>
      </c>
      <c r="D53" s="14">
        <v>130000</v>
      </c>
      <c r="E53" s="9"/>
      <c r="F53" s="17"/>
      <c r="G53" s="21" t="s">
        <v>166</v>
      </c>
      <c r="H53" s="3"/>
      <c r="I53" s="3"/>
    </row>
    <row r="54" spans="1:9" ht="15">
      <c r="A54" s="9"/>
      <c r="B54" s="23" t="s">
        <v>108</v>
      </c>
      <c r="C54" s="26" t="str">
        <f>VLOOKUP(Table14[[#This Row],[KODE BARANG ]],DATA!B55:C127,2,FALSE)</f>
        <v xml:space="preserve">TORANI GREAN APLLE </v>
      </c>
      <c r="D54" s="14">
        <v>130000</v>
      </c>
      <c r="E54" s="9"/>
      <c r="F54" s="17"/>
      <c r="G54" s="21" t="s">
        <v>166</v>
      </c>
      <c r="H54" s="3"/>
      <c r="I54" s="3"/>
    </row>
    <row r="55" spans="1:9" ht="15">
      <c r="A55" s="9"/>
      <c r="B55" s="23" t="s">
        <v>110</v>
      </c>
      <c r="C55" s="26" t="str">
        <f>VLOOKUP(Table14[[#This Row],[KODE BARANG ]],DATA!B56:C128,2,FALSE)</f>
        <v>TORANI HUZELNUT</v>
      </c>
      <c r="D55" s="14">
        <v>130000</v>
      </c>
      <c r="E55" s="9"/>
      <c r="F55" s="17"/>
      <c r="G55" s="21" t="s">
        <v>166</v>
      </c>
      <c r="H55" s="3"/>
      <c r="I55" s="3"/>
    </row>
    <row r="56" spans="1:9" ht="15">
      <c r="A56" s="9"/>
      <c r="B56" s="23" t="s">
        <v>112</v>
      </c>
      <c r="C56" s="26" t="str">
        <f>VLOOKUP(Table14[[#This Row],[KODE BARANG ]],DATA!B57:C129,2,FALSE)</f>
        <v xml:space="preserve">DRIP PANDAN </v>
      </c>
      <c r="D56" s="14">
        <v>119000</v>
      </c>
      <c r="E56" s="9"/>
      <c r="F56" s="17"/>
      <c r="G56" s="21" t="s">
        <v>166</v>
      </c>
      <c r="H56" s="3"/>
      <c r="I56" s="3"/>
    </row>
    <row r="57" spans="1:9" ht="15">
      <c r="A57" s="9"/>
      <c r="B57" s="23" t="s">
        <v>114</v>
      </c>
      <c r="C57" s="26" t="str">
        <f>VLOOKUP(Table14[[#This Row],[KODE BARANG ]],DATA!B58:C130,2,FALSE)</f>
        <v>DRIP BUTTERSCUTH</v>
      </c>
      <c r="D57" s="14">
        <v>119000</v>
      </c>
      <c r="E57" s="9"/>
      <c r="F57" s="17"/>
      <c r="G57" s="21">
        <v>1</v>
      </c>
      <c r="H57" s="3"/>
      <c r="I57" s="3"/>
    </row>
    <row r="58" spans="1:9" ht="15">
      <c r="A58" s="9"/>
      <c r="B58" s="23" t="s">
        <v>116</v>
      </c>
      <c r="C58" s="26" t="str">
        <f>VLOOKUP(Table14[[#This Row],[KODE BARANG ]],DATA!B59:C131,2,FALSE)</f>
        <v>DARK COCO POWDER</v>
      </c>
      <c r="D58" s="14">
        <v>0</v>
      </c>
      <c r="E58" s="9"/>
      <c r="F58" s="17"/>
      <c r="G58" s="21" t="s">
        <v>166</v>
      </c>
      <c r="H58" s="3"/>
      <c r="I58" s="3"/>
    </row>
    <row r="59" spans="1:9" ht="15">
      <c r="A59" s="9"/>
      <c r="B59" s="23" t="s">
        <v>118</v>
      </c>
      <c r="C59" s="26" t="str">
        <f>VLOOKUP(Table14[[#This Row],[KODE BARANG ]],DATA!B60:C132,2,FALSE)</f>
        <v xml:space="preserve">DENALI POWDER VANILLA </v>
      </c>
      <c r="D59" s="14">
        <v>178000</v>
      </c>
      <c r="E59" s="9"/>
      <c r="F59" s="17"/>
      <c r="G59" s="21" t="s">
        <v>166</v>
      </c>
      <c r="H59" s="3"/>
      <c r="I59" s="3"/>
    </row>
    <row r="60" spans="1:9" ht="15">
      <c r="A60" s="9"/>
      <c r="B60" s="23" t="s">
        <v>120</v>
      </c>
      <c r="C60" s="26" t="str">
        <f>VLOOKUP(Table14[[#This Row],[KODE BARANG ]],DATA!B61:C133,2,FALSE)</f>
        <v xml:space="preserve">DENALI POWDER TARO </v>
      </c>
      <c r="D60" s="14">
        <v>178000</v>
      </c>
      <c r="E60" s="9"/>
      <c r="F60" s="17"/>
      <c r="G60" s="21" t="s">
        <v>166</v>
      </c>
      <c r="H60" s="3"/>
      <c r="I60" s="3"/>
    </row>
    <row r="61" spans="1:9" ht="15">
      <c r="A61" s="9"/>
      <c r="B61" s="23" t="s">
        <v>122</v>
      </c>
      <c r="C61" s="26" t="str">
        <f>VLOOKUP(Table14[[#This Row],[KODE BARANG ]],DATA!B62:C134,2,FALSE)</f>
        <v>OREO CRUMBE</v>
      </c>
      <c r="D61" s="14">
        <v>0</v>
      </c>
      <c r="E61" s="9"/>
      <c r="F61" s="17"/>
      <c r="G61" s="21" t="s">
        <v>166</v>
      </c>
      <c r="H61" s="3"/>
      <c r="I61" s="3"/>
    </row>
    <row r="62" spans="1:9" ht="15">
      <c r="A62" s="9"/>
      <c r="B62" s="23" t="s">
        <v>124</v>
      </c>
      <c r="C62" s="26" t="str">
        <f>VLOOKUP(Table14[[#This Row],[KODE BARANG ]],DATA!B63:C135,2,FALSE)</f>
        <v>OREO ORIGINAL</v>
      </c>
      <c r="D62" s="14">
        <v>0</v>
      </c>
      <c r="E62" s="9"/>
      <c r="F62" s="17"/>
      <c r="G62" s="21" t="s">
        <v>166</v>
      </c>
      <c r="H62" s="3"/>
      <c r="I62" s="3"/>
    </row>
    <row r="63" spans="1:9" ht="15">
      <c r="A63" s="9"/>
      <c r="B63" s="23" t="s">
        <v>126</v>
      </c>
      <c r="C63" s="26" t="str">
        <f>VLOOKUP(Table14[[#This Row],[KODE BARANG ]],DATA!B64:C136,2,FALSE)</f>
        <v>CHO CHO RATU COKLAT</v>
      </c>
      <c r="D63" s="14">
        <v>26000</v>
      </c>
      <c r="E63" s="9"/>
      <c r="F63" s="17"/>
      <c r="G63" s="21" t="s">
        <v>166</v>
      </c>
      <c r="H63" s="3"/>
      <c r="I63" s="3"/>
    </row>
    <row r="64" spans="1:9" ht="15">
      <c r="A64" s="9"/>
      <c r="B64" s="23" t="s">
        <v>128</v>
      </c>
      <c r="C64" s="26" t="str">
        <f>VLOOKUP(Table14[[#This Row],[KODE BARANG ]],DATA!B65:C137,2,FALSE)</f>
        <v>CHO CHO RATU STRAWBERY</v>
      </c>
      <c r="D64" s="14">
        <v>26000</v>
      </c>
      <c r="E64" s="9"/>
      <c r="F64" s="17"/>
      <c r="G64" s="21" t="s">
        <v>166</v>
      </c>
      <c r="H64" s="3"/>
      <c r="I64" s="3"/>
    </row>
    <row r="65" spans="1:9" ht="15">
      <c r="A65" s="9"/>
      <c r="B65" s="23" t="s">
        <v>130</v>
      </c>
      <c r="C65" s="26" t="str">
        <f>VLOOKUP(Table14[[#This Row],[KODE BARANG ]],DATA!B66:C138,2,FALSE)</f>
        <v>THE POCI</v>
      </c>
      <c r="D65" s="14">
        <v>4000</v>
      </c>
      <c r="E65" s="9"/>
      <c r="F65" s="17">
        <v>30</v>
      </c>
      <c r="G65" s="21" t="s">
        <v>166</v>
      </c>
      <c r="H65" s="3"/>
      <c r="I65" s="3"/>
    </row>
    <row r="66" spans="1:9" ht="15">
      <c r="A66" s="9"/>
      <c r="B66" s="23" t="s">
        <v>132</v>
      </c>
      <c r="C66" s="26" t="str">
        <f>VLOOKUP(Table14[[#This Row],[KODE BARANG ]],DATA!B67:C139,2,FALSE)</f>
        <v>OUT MILK</v>
      </c>
      <c r="D66" s="14">
        <v>0</v>
      </c>
      <c r="E66" s="9"/>
      <c r="F66" s="17"/>
      <c r="G66" s="21" t="s">
        <v>166</v>
      </c>
      <c r="H66" s="3"/>
      <c r="I66" s="3"/>
    </row>
    <row r="67" spans="1:9" ht="15">
      <c r="A67" s="9"/>
      <c r="B67" s="23" t="s">
        <v>134</v>
      </c>
      <c r="C67" s="26" t="str">
        <f>VLOOKUP(Table14[[#This Row],[KODE BARANG ]],DATA!B68:C140,2,FALSE)</f>
        <v>LYCHEES IN SIRUP</v>
      </c>
      <c r="D67" s="14">
        <v>0</v>
      </c>
      <c r="E67" s="9"/>
      <c r="F67" s="17"/>
      <c r="G67" s="21" t="s">
        <v>166</v>
      </c>
      <c r="H67" s="3"/>
      <c r="I67" s="3"/>
    </row>
    <row r="68" spans="1:9" ht="15">
      <c r="A68" s="9"/>
      <c r="B68" s="23" t="s">
        <v>136</v>
      </c>
      <c r="C68" s="26" t="str">
        <f>VLOOKUP(Table14[[#This Row],[KODE BARANG ]],DATA!B69:C141,2,FALSE)</f>
        <v xml:space="preserve">WIPPY CREAM </v>
      </c>
      <c r="D68" s="14">
        <v>0</v>
      </c>
      <c r="E68" s="9"/>
      <c r="F68" s="17"/>
      <c r="G68" s="21" t="s">
        <v>166</v>
      </c>
      <c r="H68" s="3"/>
      <c r="I68" s="3"/>
    </row>
    <row r="69" spans="1:9" ht="15">
      <c r="A69" s="9"/>
      <c r="B69" s="23" t="s">
        <v>138</v>
      </c>
      <c r="C69" s="26" t="str">
        <f>VLOOKUP(Table14[[#This Row],[KODE BARANG ]],DATA!B70:C142,2,FALSE)</f>
        <v>KEJU PROCHIZ GOLD</v>
      </c>
      <c r="D69" s="14">
        <v>118000</v>
      </c>
      <c r="E69" s="9"/>
      <c r="F69" s="17">
        <v>1</v>
      </c>
      <c r="G69" s="21" t="s">
        <v>166</v>
      </c>
      <c r="H69" s="3"/>
      <c r="I69" s="3"/>
    </row>
    <row r="70" spans="1:9" ht="15">
      <c r="A70" s="9"/>
      <c r="B70" s="23" t="s">
        <v>140</v>
      </c>
      <c r="C70" s="26" t="str">
        <f>VLOOKUP(Table14[[#This Row],[KODE BARANG ]],DATA!B71:C143,2,FALSE)</f>
        <v>KEJU PROCHIZ SPREADY</v>
      </c>
      <c r="D70" s="14">
        <v>0</v>
      </c>
      <c r="E70" s="9"/>
      <c r="F70" s="17"/>
      <c r="G70" s="21" t="s">
        <v>166</v>
      </c>
      <c r="H70" s="3"/>
      <c r="I70" s="3"/>
    </row>
    <row r="71" spans="1:9" ht="15">
      <c r="A71" s="9"/>
      <c r="B71" s="23" t="s">
        <v>142</v>
      </c>
      <c r="C71" s="26" t="str">
        <f>VLOOKUP(Table14[[#This Row],[KODE BARANG ]],DATA!B72:C144,2,FALSE)</f>
        <v xml:space="preserve">SIRUP GULA AREN </v>
      </c>
      <c r="D71" s="14">
        <v>56000</v>
      </c>
      <c r="E71" s="9"/>
      <c r="F71" s="17" t="s">
        <v>166</v>
      </c>
      <c r="G71" s="21">
        <v>1</v>
      </c>
      <c r="H71" s="3"/>
      <c r="I71" s="3"/>
    </row>
    <row r="72" spans="1:9" ht="15">
      <c r="A72" s="9"/>
      <c r="B72" s="23" t="s">
        <v>144</v>
      </c>
      <c r="C72" s="26" t="str">
        <f>VLOOKUP(Table14[[#This Row],[KODE BARANG ]],DATA!B73:C145,2,FALSE)</f>
        <v>SPRITE</v>
      </c>
      <c r="D72" s="14">
        <v>0</v>
      </c>
      <c r="E72" s="9"/>
      <c r="F72" s="17"/>
      <c r="G72" s="21">
        <v>2</v>
      </c>
      <c r="H72" s="3"/>
      <c r="I72" s="3"/>
    </row>
    <row r="73" spans="1:9" ht="15">
      <c r="A73" s="9"/>
      <c r="B73" s="23" t="s">
        <v>146</v>
      </c>
      <c r="C73" s="26" t="str">
        <f>VLOOKUP(Table14[[#This Row],[KODE BARANG ]],DATA!B74:C146,2,FALSE)</f>
        <v xml:space="preserve">SUSU OMELA </v>
      </c>
      <c r="D73" s="14">
        <v>12000</v>
      </c>
      <c r="E73" s="9"/>
      <c r="F73" s="17">
        <v>48</v>
      </c>
      <c r="G73" s="21">
        <v>2</v>
      </c>
      <c r="H73" s="3"/>
      <c r="I73" s="3"/>
    </row>
    <row r="74" spans="1:9" ht="15">
      <c r="A74" s="9"/>
      <c r="B74" s="23" t="s">
        <v>148</v>
      </c>
      <c r="C74" s="26" t="str">
        <f>VLOOKUP(Table14[[#This Row],[KODE BARANG ]],DATA!B75:C147,2,FALSE)</f>
        <v xml:space="preserve">SUSU COKLAT </v>
      </c>
      <c r="D74" s="14">
        <v>0</v>
      </c>
      <c r="E74" s="9"/>
      <c r="F74" s="17">
        <v>3</v>
      </c>
      <c r="G74" s="21">
        <v>1</v>
      </c>
      <c r="H74" s="3"/>
      <c r="I74" s="3"/>
    </row>
    <row r="75" spans="1:9" ht="15">
      <c r="A75" s="9"/>
      <c r="B75" s="23" t="s">
        <v>150</v>
      </c>
      <c r="C75" s="26" t="str">
        <f>VLOOKUP(Table14[[#This Row],[KODE BARANG ]],DATA!B76:C148,2,FALSE)</f>
        <v xml:space="preserve">ES CREAM COKLAT </v>
      </c>
      <c r="D75" s="14">
        <v>0</v>
      </c>
      <c r="E75" s="9"/>
      <c r="F75" s="17"/>
      <c r="G75" s="21" t="s">
        <v>166</v>
      </c>
      <c r="H75" s="3"/>
      <c r="I75" s="3"/>
    </row>
    <row r="76" spans="1:9" ht="15">
      <c r="A76" s="9"/>
      <c r="B76" s="23" t="s">
        <v>152</v>
      </c>
      <c r="C76" s="26" t="str">
        <f>VLOOKUP(Table14[[#This Row],[KODE BARANG ]],DATA!B77:C149,2,FALSE)</f>
        <v xml:space="preserve">ES CREAM VANILLA </v>
      </c>
      <c r="D76" s="14">
        <v>0</v>
      </c>
      <c r="E76" s="9"/>
      <c r="F76" s="17"/>
      <c r="G76" s="21" t="s">
        <v>166</v>
      </c>
      <c r="H76" s="3"/>
      <c r="I76" s="3"/>
    </row>
    <row r="77" spans="1:9" ht="15">
      <c r="A77" s="9"/>
      <c r="B77" s="24" t="s">
        <v>154</v>
      </c>
      <c r="C77" s="26" t="str">
        <f>VLOOKUP(Table14[[#This Row],[KODE BARANG ]],DATA!B78:C150,2,FALSE)</f>
        <v>ES CREAM STRAWBERY</v>
      </c>
      <c r="D77" s="14">
        <v>0</v>
      </c>
      <c r="E77" s="9"/>
      <c r="F77" s="17"/>
      <c r="G77" s="21" t="s">
        <v>166</v>
      </c>
      <c r="H77" s="3"/>
      <c r="I77" s="3"/>
    </row>
    <row r="78" spans="1:9" ht="15">
      <c r="A78" s="9"/>
      <c r="B78" s="23" t="s">
        <v>156</v>
      </c>
      <c r="C78" s="26" t="str">
        <f>VLOOKUP(Table14[[#This Row],[KODE BARANG ]],DATA!B79:C151,2,FALSE)</f>
        <v>GULA PASIR</v>
      </c>
      <c r="D78" s="14">
        <v>0</v>
      </c>
      <c r="E78" s="9"/>
      <c r="F78" s="17"/>
      <c r="G78" s="21" t="s">
        <v>166</v>
      </c>
      <c r="H78" s="3"/>
      <c r="I78" s="3"/>
    </row>
    <row r="79" spans="1:9" ht="15">
      <c r="A79" s="9"/>
      <c r="B79" s="24" t="s">
        <v>158</v>
      </c>
      <c r="C79" s="26" t="str">
        <f>VLOOKUP(Table14[[#This Row],[KODE BARANG ]],DATA!B80:C152,2,FALSE)</f>
        <v>SUNLIGHT 5L</v>
      </c>
      <c r="D79" s="14">
        <v>0</v>
      </c>
      <c r="E79" s="9"/>
      <c r="F79" s="17"/>
      <c r="G79" s="21" t="s">
        <v>166</v>
      </c>
      <c r="H79" s="3"/>
      <c r="I79" s="3"/>
    </row>
    <row r="80" spans="1:9" ht="15">
      <c r="A80" s="9"/>
      <c r="B80" s="23" t="s">
        <v>160</v>
      </c>
      <c r="C80" s="26" t="str">
        <f>VLOOKUP(Table14[[#This Row],[KODE BARANG ]],DATA!B81:C153,2,FALSE)</f>
        <v xml:space="preserve">KENTANG </v>
      </c>
      <c r="D80" s="14">
        <v>90000</v>
      </c>
      <c r="E80" s="9"/>
      <c r="F80" s="17">
        <v>5</v>
      </c>
      <c r="G80" s="21" t="s">
        <v>166</v>
      </c>
      <c r="H80" s="3"/>
      <c r="I80" s="3"/>
    </row>
    <row r="81" spans="1:9" ht="15">
      <c r="A81" s="9"/>
      <c r="B81" s="24" t="s">
        <v>162</v>
      </c>
      <c r="C81" s="26" t="str">
        <f>VLOOKUP(Table14[[#This Row],[KODE BARANG ]],DATA!B82:C154,2,FALSE)</f>
        <v xml:space="preserve">SINGKONG </v>
      </c>
      <c r="D81" s="14">
        <v>0</v>
      </c>
      <c r="E81" s="9"/>
      <c r="F81" s="17"/>
      <c r="G81" s="21"/>
      <c r="H81" s="3"/>
      <c r="I81" s="3"/>
    </row>
    <row r="82" spans="1:9" ht="15">
      <c r="A82" s="9"/>
      <c r="B82" s="23" t="s">
        <v>164</v>
      </c>
      <c r="C82" s="26" t="str">
        <f>VLOOKUP(Table14[[#This Row],[KODE BARANG ]],DATA!B83:C155,2,FALSE)</f>
        <v xml:space="preserve">BAKSO IKAN </v>
      </c>
      <c r="D82" s="14">
        <v>43000</v>
      </c>
      <c r="E82" s="9"/>
      <c r="F82" s="17" t="s">
        <v>166</v>
      </c>
      <c r="G82" s="21" t="s">
        <v>166</v>
      </c>
      <c r="H82" s="3"/>
      <c r="I82" s="3"/>
    </row>
    <row r="83" spans="1:9" ht="15">
      <c r="A83" s="9"/>
      <c r="B83" s="24" t="s">
        <v>167</v>
      </c>
      <c r="C83" s="26" t="str">
        <f>VLOOKUP(Table14[[#This Row],[KODE BARANG ]],DATA!B84:C156,2,FALSE)</f>
        <v>BAKSO SAPI</v>
      </c>
      <c r="D83" s="14">
        <v>0</v>
      </c>
      <c r="E83" s="9"/>
      <c r="F83" s="17"/>
      <c r="G83" s="21"/>
      <c r="H83" s="3"/>
      <c r="I83" s="3"/>
    </row>
    <row r="84" spans="1:9" ht="15">
      <c r="A84" s="9"/>
      <c r="B84" s="23" t="s">
        <v>169</v>
      </c>
      <c r="C84" s="26" t="str">
        <f>VLOOKUP(Table14[[#This Row],[KODE BARANG ]],DATA!B85:C157,2,FALSE)</f>
        <v>IKAN KAKAP XL</v>
      </c>
      <c r="D84" s="14">
        <v>0</v>
      </c>
      <c r="E84" s="9"/>
      <c r="F84" s="17"/>
      <c r="G84" s="21"/>
      <c r="H84" s="3"/>
      <c r="I84" s="3"/>
    </row>
    <row r="85" spans="1:9" ht="15">
      <c r="A85" s="9"/>
      <c r="B85" s="24" t="s">
        <v>171</v>
      </c>
      <c r="C85" s="26" t="str">
        <f>VLOOKUP(Table14[[#This Row],[KODE BARANG ]],DATA!B86:C158,2,FALSE)</f>
        <v>IKAN KAKAP L</v>
      </c>
      <c r="D85" s="14">
        <v>0</v>
      </c>
      <c r="E85" s="9"/>
      <c r="F85" s="17"/>
      <c r="G85" s="21"/>
      <c r="H85" s="3"/>
      <c r="I85" s="3"/>
    </row>
    <row r="86" spans="1:9" ht="15">
      <c r="A86" s="9"/>
      <c r="B86" s="23" t="s">
        <v>173</v>
      </c>
      <c r="C86" s="26" t="str">
        <f>VLOOKUP(Table14[[#This Row],[KODE BARANG ]],DATA!B87:C159,2,FALSE)</f>
        <v>IKAN KAKAP M</v>
      </c>
      <c r="D86" s="14">
        <v>0</v>
      </c>
      <c r="E86" s="9"/>
      <c r="F86" s="17"/>
      <c r="G86" s="21"/>
      <c r="H86" s="3"/>
      <c r="I86" s="3"/>
    </row>
    <row r="87" spans="1:9" ht="15">
      <c r="A87" s="9"/>
      <c r="B87" s="24" t="s">
        <v>175</v>
      </c>
      <c r="C87" s="26" t="str">
        <f>VLOOKUP(Table14[[#This Row],[KODE BARANG ]],DATA!B88:C160,2,FALSE)</f>
        <v>IKAN MUBARA XL</v>
      </c>
      <c r="D87" s="14">
        <v>0</v>
      </c>
      <c r="E87" s="9"/>
      <c r="F87" s="17"/>
      <c r="G87" s="21" t="s">
        <v>166</v>
      </c>
      <c r="H87" s="3"/>
      <c r="I87" s="3"/>
    </row>
    <row r="88" spans="1:9" ht="15">
      <c r="A88" s="9"/>
      <c r="B88" s="23" t="s">
        <v>177</v>
      </c>
      <c r="C88" s="26" t="str">
        <f>VLOOKUP(Table14[[#This Row],[KODE BARANG ]],DATA!B89:C161,2,FALSE)</f>
        <v>IKAN MUBARA L</v>
      </c>
      <c r="D88" s="14">
        <v>0</v>
      </c>
      <c r="E88" s="9"/>
      <c r="F88" s="17"/>
      <c r="G88" s="21"/>
      <c r="H88" s="3"/>
      <c r="I88" s="3"/>
    </row>
    <row r="89" spans="1:9" ht="15">
      <c r="A89" s="9"/>
      <c r="B89" s="24" t="s">
        <v>179</v>
      </c>
      <c r="C89" s="26" t="str">
        <f>VLOOKUP(Table14[[#This Row],[KODE BARANG ]],DATA!B90:C162,2,FALSE)</f>
        <v>IKAN MUBARA M</v>
      </c>
      <c r="D89" s="14">
        <v>0</v>
      </c>
      <c r="E89" s="9"/>
      <c r="F89" s="17"/>
      <c r="G89" s="21"/>
      <c r="H89" s="3"/>
      <c r="I89" s="3"/>
    </row>
    <row r="90" spans="1:9" ht="15">
      <c r="A90" s="9"/>
      <c r="B90" s="23" t="s">
        <v>181</v>
      </c>
      <c r="C90" s="26" t="str">
        <f>VLOOKUP(Table14[[#This Row],[KODE BARANG ]],DATA!B91:C163,2,FALSE)</f>
        <v>IKAN MUBARA JUMBO</v>
      </c>
      <c r="D90" s="14">
        <v>0</v>
      </c>
      <c r="E90" s="9"/>
      <c r="F90" s="17"/>
      <c r="G90" s="21"/>
      <c r="H90" s="3"/>
      <c r="I90" s="3"/>
    </row>
    <row r="91" spans="1:9" ht="15">
      <c r="A91" s="9"/>
      <c r="B91" s="24" t="s">
        <v>183</v>
      </c>
      <c r="C91" s="26" t="str">
        <f>VLOOKUP(Table14[[#This Row],[KODE BARANG ]],DATA!B92:C164,2,FALSE)</f>
        <v>IKAN KERAPU XL</v>
      </c>
      <c r="D91" s="14">
        <v>0</v>
      </c>
      <c r="E91" s="9"/>
      <c r="F91" s="17"/>
      <c r="G91" s="21"/>
      <c r="H91" s="3"/>
      <c r="I91" s="3"/>
    </row>
    <row r="92" spans="1:9" ht="15">
      <c r="A92" s="9"/>
      <c r="B92" s="23" t="s">
        <v>185</v>
      </c>
      <c r="C92" s="26" t="str">
        <f>VLOOKUP(Table14[[#This Row],[KODE BARANG ]],DATA!B93:C165,2,FALSE)</f>
        <v>IKAN KERAPU L</v>
      </c>
      <c r="D92" s="14">
        <v>0</v>
      </c>
      <c r="E92" s="9"/>
      <c r="F92" s="17"/>
      <c r="G92" s="21"/>
      <c r="H92" s="3"/>
      <c r="I92" s="3"/>
    </row>
    <row r="93" spans="1:9" ht="15">
      <c r="A93" s="9"/>
      <c r="B93" s="24" t="s">
        <v>187</v>
      </c>
      <c r="C93" s="26" t="str">
        <f>VLOOKUP(Table14[[#This Row],[KODE BARANG ]],DATA!B94:C166,2,FALSE)</f>
        <v>IKAN KERAPU M</v>
      </c>
      <c r="D93" s="14">
        <v>0</v>
      </c>
      <c r="E93" s="9"/>
      <c r="F93" s="17"/>
      <c r="G93" s="21" t="s">
        <v>166</v>
      </c>
      <c r="H93" s="3"/>
      <c r="I93" s="3"/>
    </row>
    <row r="94" spans="1:9" ht="15">
      <c r="A94" s="9"/>
      <c r="B94" s="23" t="s">
        <v>189</v>
      </c>
      <c r="C94" s="26" t="str">
        <f>VLOOKUP(Table14[[#This Row],[KODE BARANG ]],DATA!B95:C167,2,FALSE)</f>
        <v>AYAM 0,9 KG</v>
      </c>
      <c r="D94" s="14">
        <v>49000</v>
      </c>
      <c r="E94" s="9"/>
      <c r="F94" s="17"/>
      <c r="G94" s="21"/>
      <c r="H94" s="3"/>
      <c r="I94" s="3"/>
    </row>
    <row r="95" spans="1:9" ht="15">
      <c r="A95" s="9"/>
      <c r="B95" s="24" t="s">
        <v>191</v>
      </c>
      <c r="C95" s="26" t="str">
        <f>VLOOKUP(Table14[[#This Row],[KODE BARANG ]],DATA!B96:C168,2,FALSE)</f>
        <v>AYAM 2 KG</v>
      </c>
      <c r="D95" s="14">
        <v>47000</v>
      </c>
      <c r="E95" s="9"/>
      <c r="F95" s="17"/>
      <c r="G95" s="21"/>
      <c r="H95" s="3"/>
      <c r="I95" s="3"/>
    </row>
    <row r="96" spans="1:9" ht="15">
      <c r="A96" s="9"/>
      <c r="B96" s="23" t="s">
        <v>193</v>
      </c>
      <c r="C96" s="26" t="str">
        <f>VLOOKUP(Table14[[#This Row],[KODE BARANG ]],DATA!B97:C169,2,FALSE)</f>
        <v>AYAM BLD</v>
      </c>
      <c r="D96" s="14">
        <v>0</v>
      </c>
      <c r="E96" s="9"/>
      <c r="F96" s="17"/>
      <c r="G96" s="21"/>
      <c r="H96" s="3"/>
      <c r="I96" s="3"/>
    </row>
    <row r="97" spans="1:9" ht="15">
      <c r="A97" s="9"/>
      <c r="B97" s="24" t="s">
        <v>195</v>
      </c>
      <c r="C97" s="26" t="str">
        <f>VLOOKUP(Table14[[#This Row],[KODE BARANG ]],DATA!B98:C170,2,FALSE)</f>
        <v>AYAM BLP</v>
      </c>
      <c r="D97" s="14">
        <v>0</v>
      </c>
      <c r="E97" s="9"/>
      <c r="F97" s="17"/>
      <c r="G97" s="21"/>
      <c r="H97" s="3"/>
      <c r="I97" s="3"/>
    </row>
    <row r="98" spans="1:9" ht="15">
      <c r="A98" s="9"/>
      <c r="B98" s="23" t="s">
        <v>197</v>
      </c>
      <c r="C98" s="26" t="str">
        <f>VLOOKUP(Table14[[#This Row],[KODE BARANG ]],DATA!B99:C171,2,FALSE)</f>
        <v>UDANG</v>
      </c>
      <c r="D98" s="14">
        <v>120000</v>
      </c>
      <c r="E98" s="9"/>
      <c r="F98" s="17"/>
      <c r="G98" s="21"/>
      <c r="H98" s="3"/>
      <c r="I98" s="3"/>
    </row>
    <row r="99" spans="1:9" ht="15">
      <c r="A99" s="9"/>
      <c r="B99" s="24" t="s">
        <v>199</v>
      </c>
      <c r="C99" s="26" t="str">
        <f>VLOOKUP(Table14[[#This Row],[KODE BARANG ]],DATA!B100:C172,2,FALSE)</f>
        <v>CUMI</v>
      </c>
      <c r="D99" s="14">
        <v>0</v>
      </c>
      <c r="E99" s="9"/>
      <c r="F99" s="17"/>
      <c r="G99" s="21"/>
      <c r="H99" s="3"/>
      <c r="I99" s="3"/>
    </row>
    <row r="100" spans="1:9" ht="15">
      <c r="A100" s="9"/>
      <c r="B100" s="23" t="s">
        <v>201</v>
      </c>
      <c r="C100" s="26" t="str">
        <f>VLOOKUP(Table14[[#This Row],[KODE BARANG ]],DATA!B101:C173,2,FALSE)</f>
        <v xml:space="preserve">RAHANG TUNA </v>
      </c>
      <c r="D100" s="14">
        <v>50000</v>
      </c>
      <c r="E100" s="9"/>
      <c r="F100" s="17"/>
      <c r="G100" s="21"/>
      <c r="H100" s="3"/>
      <c r="I100" s="3"/>
    </row>
    <row r="101" spans="1:9" ht="15">
      <c r="A101" s="9"/>
      <c r="B101" s="24" t="s">
        <v>204</v>
      </c>
      <c r="C101" s="26" t="str">
        <f>VLOOKUP(Table14[[#This Row],[KODE BARANG ]],DATA!B102:C174,2,FALSE)</f>
        <v xml:space="preserve">DADA TUNA </v>
      </c>
      <c r="D101" s="14">
        <v>70000</v>
      </c>
      <c r="E101" s="9"/>
      <c r="F101" s="17"/>
      <c r="G101" s="21"/>
      <c r="H101" s="3"/>
      <c r="I101" s="3"/>
    </row>
    <row r="102" spans="1:9" ht="15">
      <c r="A102" s="9"/>
      <c r="B102" s="23" t="s">
        <v>206</v>
      </c>
      <c r="C102" s="26" t="str">
        <f>VLOOKUP(Table14[[#This Row],[KODE BARANG ]],DATA!B103:C175,2,FALSE)</f>
        <v>WIPOL</v>
      </c>
      <c r="D102" s="14">
        <v>172000</v>
      </c>
      <c r="E102" s="9"/>
      <c r="F102" s="17"/>
      <c r="G102" s="21">
        <v>2</v>
      </c>
      <c r="H102" s="3"/>
      <c r="I102" s="3"/>
    </row>
    <row r="103" spans="1:9" ht="15">
      <c r="A103" s="9"/>
      <c r="B103" s="24" t="s">
        <v>207</v>
      </c>
      <c r="C103" s="26" t="str">
        <f>VLOOKUP(Table14[[#This Row],[KODE BARANG ]],DATA!B104:C176,2,FALSE)</f>
        <v xml:space="preserve">CLING </v>
      </c>
      <c r="D103" s="14">
        <v>0</v>
      </c>
      <c r="E103" s="9"/>
      <c r="F103" s="17"/>
      <c r="G103" s="21"/>
      <c r="H103" s="3"/>
      <c r="I103" s="3"/>
    </row>
    <row r="104" spans="1:9" ht="15">
      <c r="A104" s="9"/>
      <c r="B104" s="23" t="s">
        <v>208</v>
      </c>
      <c r="C104" s="26" t="str">
        <f>VLOOKUP(Table14[[#This Row],[KODE BARANG ]],DATA!B105:C177,2,FALSE)</f>
        <v xml:space="preserve">KANTONG SAMPAH JUMBO </v>
      </c>
      <c r="D104" s="14">
        <v>0</v>
      </c>
      <c r="E104" s="9"/>
      <c r="F104" s="17"/>
      <c r="G104" s="21"/>
      <c r="H104" s="3"/>
      <c r="I104" s="3"/>
    </row>
    <row r="105" spans="1:9" ht="15">
      <c r="A105" s="9"/>
      <c r="B105" s="24" t="s">
        <v>209</v>
      </c>
      <c r="C105" s="26" t="str">
        <f>VLOOKUP(Table14[[#This Row],[KODE BARANG ]],DATA!B106:C178,2,FALSE)</f>
        <v>KANTONG SAMPAH BESAR</v>
      </c>
      <c r="D105" s="14">
        <v>0</v>
      </c>
      <c r="E105" s="9"/>
      <c r="F105" s="17"/>
      <c r="G105" s="21"/>
      <c r="H105" s="3"/>
      <c r="I105" s="3"/>
    </row>
  </sheetData>
  <mergeCells count="1">
    <mergeCell ref="A1:G1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A67463C-811A-41E2-B45C-E060875405AE}">
          <x14:formula1>
            <xm:f>DATA!$B$5:$B$78</xm:f>
          </x14:formula1>
          <xm:sqref>B4:B105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5"/>
  <sheetViews>
    <sheetView workbookViewId="0">
      <selection activeCell="D2" sqref="D1:D1048576"/>
    </sheetView>
  </sheetViews>
  <sheetFormatPr defaultColWidth="9" defaultRowHeight="13.5"/>
  <cols>
    <col min="1" max="1" width="18.375" customWidth="1"/>
    <col min="2" max="2" width="16.625" customWidth="1"/>
    <col min="3" max="3" width="25.625" customWidth="1"/>
    <col min="4" max="4" width="18.125" style="1" customWidth="1"/>
    <col min="5" max="5" width="10.125" customWidth="1"/>
  </cols>
  <sheetData>
    <row r="1" spans="1:5" ht="24" customHeight="1">
      <c r="A1" s="42" t="s">
        <v>216</v>
      </c>
      <c r="B1" s="43"/>
      <c r="C1" s="43"/>
      <c r="D1" s="43"/>
      <c r="E1" s="2"/>
    </row>
    <row r="3" spans="1:5">
      <c r="A3" t="s">
        <v>217</v>
      </c>
      <c r="B3" t="s">
        <v>213</v>
      </c>
      <c r="C3" t="s">
        <v>2</v>
      </c>
      <c r="D3" s="1" t="s">
        <v>218</v>
      </c>
    </row>
    <row r="4" spans="1:5">
      <c r="A4" t="s">
        <v>215</v>
      </c>
      <c r="B4" s="3" t="s">
        <v>5</v>
      </c>
      <c r="C4" t="str">
        <f>VLOOKUP(Table2[[#This Row],[KODE BARANG ]],DATA!B5:C78,2,FALSE)</f>
        <v>BERAS 10kg</v>
      </c>
      <c r="D4" s="1">
        <v>2</v>
      </c>
    </row>
    <row r="5" spans="1:5">
      <c r="A5" t="s">
        <v>215</v>
      </c>
      <c r="B5" s="3" t="s">
        <v>7</v>
      </c>
      <c r="C5" t="str">
        <f>VLOOKUP(Table2[[#This Row],[KODE BARANG ]],DATA!B6:C78,2,FALSE)</f>
        <v xml:space="preserve">MINYAK GORENG </v>
      </c>
      <c r="D5" s="1" t="s">
        <v>166</v>
      </c>
    </row>
    <row r="6" spans="1:5">
      <c r="A6" t="s">
        <v>215</v>
      </c>
      <c r="B6" s="3" t="s">
        <v>10</v>
      </c>
      <c r="C6" t="str">
        <f>VLOOKUP(Table2[[#This Row],[KODE BARANG ]],DATA!B7:C79,2,FALSE)</f>
        <v xml:space="preserve">SEGITIGA BIRU </v>
      </c>
      <c r="D6" s="1">
        <v>1</v>
      </c>
    </row>
    <row r="7" spans="1:5">
      <c r="B7" s="3" t="s">
        <v>12</v>
      </c>
      <c r="C7" t="str">
        <f>VLOOKUP(Table2[[#This Row],[KODE BARANG ]],DATA!B8:C80,2,FALSE)</f>
        <v>TEPUNG TAPIOKA</v>
      </c>
      <c r="D7" s="1" t="s">
        <v>166</v>
      </c>
    </row>
    <row r="8" spans="1:5">
      <c r="B8" s="3" t="s">
        <v>14</v>
      </c>
      <c r="C8" t="str">
        <f>VLOOKUP(Table2[[#This Row],[KODE BARANG ]],DATA!B9:C81,2,FALSE)</f>
        <v>TEPUNG BERAS</v>
      </c>
      <c r="D8" s="1">
        <v>1</v>
      </c>
    </row>
    <row r="9" spans="1:5">
      <c r="B9" s="3" t="s">
        <v>16</v>
      </c>
      <c r="C9" t="str">
        <f>VLOOKUP(Table2[[#This Row],[KODE BARANG ]],DATA!B10:C82,2,FALSE)</f>
        <v xml:space="preserve">TEPUNG KOBE </v>
      </c>
      <c r="D9" s="1" t="s">
        <v>166</v>
      </c>
    </row>
    <row r="10" spans="1:5">
      <c r="B10" s="3" t="s">
        <v>18</v>
      </c>
      <c r="C10" t="str">
        <f>VLOOKUP(Table2[[#This Row],[KODE BARANG ]],DATA!B11:C83,2,FALSE)</f>
        <v>MASAKO</v>
      </c>
      <c r="D10" s="1">
        <v>1</v>
      </c>
    </row>
    <row r="11" spans="1:5">
      <c r="A11" t="s">
        <v>215</v>
      </c>
      <c r="B11" s="3" t="s">
        <v>20</v>
      </c>
      <c r="C11" t="str">
        <f>VLOOKUP(Table2[[#This Row],[KODE BARANG ]],DATA!B12:C84,2,FALSE)</f>
        <v>AJINAMOTO</v>
      </c>
      <c r="D11" s="1">
        <v>1</v>
      </c>
    </row>
    <row r="12" spans="1:5">
      <c r="B12" s="3" t="s">
        <v>22</v>
      </c>
      <c r="C12" t="str">
        <f>VLOOKUP(Table2[[#This Row],[KODE BARANG ]],DATA!B13:C85,2,FALSE)</f>
        <v xml:space="preserve">GARAM </v>
      </c>
      <c r="D12" s="1">
        <v>1</v>
      </c>
    </row>
    <row r="13" spans="1:5">
      <c r="B13" s="3" t="s">
        <v>24</v>
      </c>
      <c r="C13" t="str">
        <f>VLOOKUP(Table2[[#This Row],[KODE BARANG ]],DATA!B14:C86,2,FALSE)</f>
        <v>MAIZENAKU</v>
      </c>
      <c r="D13" s="1" t="s">
        <v>166</v>
      </c>
    </row>
    <row r="14" spans="1:5">
      <c r="A14" t="s">
        <v>215</v>
      </c>
      <c r="B14" s="3" t="s">
        <v>26</v>
      </c>
      <c r="C14" t="str">
        <f>VLOOKUP(Table2[[#This Row],[KODE BARANG ]],DATA!B15:C87,2,FALSE)</f>
        <v>MENTEGA BALOK</v>
      </c>
      <c r="D14" s="1" t="s">
        <v>166</v>
      </c>
    </row>
    <row r="15" spans="1:5">
      <c r="A15" t="s">
        <v>215</v>
      </c>
      <c r="B15" s="3" t="s">
        <v>28</v>
      </c>
      <c r="C15" t="str">
        <f>VLOOKUP(Table2[[#This Row],[KODE BARANG ]],DATA!B16:C88,2,FALSE)</f>
        <v xml:space="preserve">BAWANG GORENG </v>
      </c>
      <c r="D15" s="1" t="s">
        <v>166</v>
      </c>
    </row>
    <row r="16" spans="1:5">
      <c r="B16" s="3" t="s">
        <v>30</v>
      </c>
      <c r="C16" t="str">
        <f>VLOOKUP(Table2[[#This Row],[KODE BARANG ]],DATA!B17:C89,2,FALSE)</f>
        <v xml:space="preserve">TERASI UDANG </v>
      </c>
      <c r="D16" s="1">
        <v>1</v>
      </c>
    </row>
    <row r="17" spans="2:4">
      <c r="B17" s="3" t="s">
        <v>33</v>
      </c>
      <c r="C17" t="str">
        <f>VLOOKUP(Table2[[#This Row],[KODE BARANG ]],DATA!B18:C90,2,FALSE)</f>
        <v xml:space="preserve">PEWARNA PANGAN MERAH CABE </v>
      </c>
      <c r="D17" s="1" t="s">
        <v>166</v>
      </c>
    </row>
    <row r="18" spans="2:4">
      <c r="B18" s="3" t="s">
        <v>35</v>
      </c>
      <c r="C18" t="str">
        <f>VLOOKUP(Table2[[#This Row],[KODE BARANG ]],DATA!B19:C91,2,FALSE)</f>
        <v>KERUPUK PESTA</v>
      </c>
      <c r="D18" s="1" t="s">
        <v>166</v>
      </c>
    </row>
    <row r="19" spans="2:4">
      <c r="B19" s="3" t="s">
        <v>37</v>
      </c>
      <c r="C19" t="str">
        <f>VLOOKUP(Table2[[#This Row],[KODE BARANG ]],DATA!B20:C92,2,FALSE)</f>
        <v xml:space="preserve">KERUPUK FINNA </v>
      </c>
      <c r="D19" s="1" t="s">
        <v>166</v>
      </c>
    </row>
    <row r="20" spans="2:4">
      <c r="B20" s="3" t="s">
        <v>39</v>
      </c>
      <c r="C20" t="str">
        <f>VLOOKUP(Table2[[#This Row],[KODE BARANG ]],DATA!B21:C93,2,FALSE)</f>
        <v>MUSHROOM</v>
      </c>
      <c r="D20" s="1" t="s">
        <v>166</v>
      </c>
    </row>
    <row r="21" spans="2:4">
      <c r="B21" s="3" t="s">
        <v>41</v>
      </c>
      <c r="C21" t="str">
        <f>VLOOKUP(Table2[[#This Row],[KODE BARANG ]],DATA!B22:C94,2,FALSE)</f>
        <v>HERCULES</v>
      </c>
      <c r="D21" s="1">
        <v>1</v>
      </c>
    </row>
    <row r="22" spans="2:4">
      <c r="B22" s="3" t="s">
        <v>43</v>
      </c>
      <c r="C22" t="str">
        <f>VLOOKUP(Table2[[#This Row],[KODE BARANG ]],DATA!B23:C95,2,FALSE)</f>
        <v>MADU TJ</v>
      </c>
      <c r="D22" s="1">
        <v>2</v>
      </c>
    </row>
    <row r="23" spans="2:4">
      <c r="B23" s="3" t="s">
        <v>45</v>
      </c>
      <c r="C23" t="str">
        <f>VLOOKUP(Table2[[#This Row],[KODE BARANG ]],DATA!B24:C96,2,FALSE)</f>
        <v xml:space="preserve">SODA KUE </v>
      </c>
      <c r="D23" s="1">
        <v>1</v>
      </c>
    </row>
    <row r="24" spans="2:4">
      <c r="B24" s="3" t="s">
        <v>47</v>
      </c>
      <c r="C24" t="str">
        <f>VLOOKUP(Table2[[#This Row],[KODE BARANG ]],DATA!B25:C97,2,FALSE)</f>
        <v xml:space="preserve">CUKA DAPUR </v>
      </c>
      <c r="D24" s="1" t="s">
        <v>166</v>
      </c>
    </row>
    <row r="25" spans="2:4">
      <c r="B25" s="3" t="s">
        <v>50</v>
      </c>
      <c r="C25" t="str">
        <f>VLOOKUP(Table2[[#This Row],[KODE BARANG ]],DATA!B26:C98,2,FALSE)</f>
        <v xml:space="preserve">SAUS TIRAM CAP PANDA </v>
      </c>
      <c r="D25" s="1">
        <v>3</v>
      </c>
    </row>
    <row r="26" spans="2:4">
      <c r="B26" s="3" t="s">
        <v>52</v>
      </c>
      <c r="C26" t="str">
        <f>VLOOKUP(Table2[[#This Row],[KODE BARANG ]],DATA!B27:C99,2,FALSE)</f>
        <v xml:space="preserve">KECAP INGGRIS </v>
      </c>
      <c r="D26" s="1" t="s">
        <v>166</v>
      </c>
    </row>
    <row r="27" spans="2:4">
      <c r="B27" s="3" t="s">
        <v>54</v>
      </c>
      <c r="C27" t="str">
        <f>VLOOKUP(Table2[[#This Row],[KODE BARANG ]],DATA!B28:C100,2,FALSE)</f>
        <v xml:space="preserve">ANCIU PENYEDAP MAKANAN </v>
      </c>
      <c r="D27" s="1" t="s">
        <v>166</v>
      </c>
    </row>
    <row r="28" spans="2:4">
      <c r="B28" s="3" t="s">
        <v>56</v>
      </c>
      <c r="C28" t="str">
        <f>VLOOKUP(Table2[[#This Row],[KODE BARANG ]],DATA!B29:C101,2,FALSE)</f>
        <v xml:space="preserve">KECAP HITAM </v>
      </c>
      <c r="D28" s="1" t="s">
        <v>166</v>
      </c>
    </row>
    <row r="29" spans="2:4">
      <c r="B29" s="3" t="s">
        <v>58</v>
      </c>
      <c r="C29" t="str">
        <f>VLOOKUP(Table2[[#This Row],[KODE BARANG ]],DATA!B30:C102,2,FALSE)</f>
        <v xml:space="preserve">MINYAK WIJEN </v>
      </c>
      <c r="D29" s="1">
        <v>2</v>
      </c>
    </row>
    <row r="30" spans="2:4">
      <c r="B30" s="3" t="s">
        <v>60</v>
      </c>
      <c r="C30" t="str">
        <f>VLOOKUP(Table2[[#This Row],[KODE BARANG ]],DATA!B31:C103,2,FALSE)</f>
        <v xml:space="preserve">KECAP IKAN FINNA </v>
      </c>
      <c r="D30" s="1" t="s">
        <v>166</v>
      </c>
    </row>
    <row r="31" spans="2:4">
      <c r="B31" s="3" t="s">
        <v>62</v>
      </c>
      <c r="C31" t="str">
        <f>VLOOKUP(Table2[[#This Row],[KODE BARANG ]],DATA!B32:C104,2,FALSE)</f>
        <v xml:space="preserve">SAUS RAJA RASA </v>
      </c>
      <c r="D31" s="1" t="s">
        <v>166</v>
      </c>
    </row>
    <row r="32" spans="2:4">
      <c r="B32" s="3" t="s">
        <v>64</v>
      </c>
      <c r="C32" t="str">
        <f>VLOOKUP(Table2[[#This Row],[KODE BARANG ]],DATA!B33:C105,2,FALSE)</f>
        <v>KECAP IKAN ROYAL</v>
      </c>
      <c r="D32" s="1" t="s">
        <v>166</v>
      </c>
    </row>
    <row r="33" spans="1:4">
      <c r="A33" t="s">
        <v>215</v>
      </c>
      <c r="B33" s="3" t="s">
        <v>66</v>
      </c>
      <c r="C33" t="str">
        <f>VLOOKUP(Table2[[#This Row],[KODE BARANG ]],DATA!B34:C106,2,FALSE)</f>
        <v xml:space="preserve">KECAP ASIN </v>
      </c>
      <c r="D33" s="1" t="s">
        <v>166</v>
      </c>
    </row>
    <row r="34" spans="1:4">
      <c r="B34" s="3" t="s">
        <v>68</v>
      </c>
      <c r="C34" t="str">
        <f>VLOOKUP(Table2[[#This Row],[KODE BARANG ]],DATA!B35:C106,2,FALSE)</f>
        <v xml:space="preserve">KECAP BANGO </v>
      </c>
      <c r="D34" s="1">
        <v>1</v>
      </c>
    </row>
    <row r="35" spans="1:4">
      <c r="B35" s="3" t="s">
        <v>70</v>
      </c>
      <c r="C35" t="str">
        <f>VLOOKUP(Table2[[#This Row],[KODE BARANG ]],DATA!B36:C107,2,FALSE)</f>
        <v xml:space="preserve">SAUS ABC SAMBEL ASLI </v>
      </c>
      <c r="D35" s="1" t="s">
        <v>166</v>
      </c>
    </row>
    <row r="36" spans="1:4">
      <c r="B36" s="3" t="s">
        <v>72</v>
      </c>
      <c r="C36" t="str">
        <f>VLOOKUP(Table2[[#This Row],[KODE BARANG ]],DATA!B37:C108,2,FALSE)</f>
        <v xml:space="preserve">SAUS ABC TOMAT </v>
      </c>
      <c r="D36" s="1" t="s">
        <v>166</v>
      </c>
    </row>
    <row r="37" spans="1:4">
      <c r="B37" s="3" t="s">
        <v>74</v>
      </c>
      <c r="C37" t="str">
        <f>VLOOKUP(Table2[[#This Row],[KODE BARANG ]],DATA!B38:C109,2,FALSE)</f>
        <v xml:space="preserve">SANTAN KARA SUN </v>
      </c>
      <c r="D37" s="1" t="s">
        <v>166</v>
      </c>
    </row>
    <row r="38" spans="1:4">
      <c r="B38" s="3" t="s">
        <v>76</v>
      </c>
      <c r="C38" t="str">
        <f>VLOOKUP(Table2[[#This Row],[KODE BARANG ]],DATA!B39:C110,2,FALSE)</f>
        <v xml:space="preserve">SAUS TOMAT CAP BAGONG </v>
      </c>
      <c r="D38" s="1" t="s">
        <v>166</v>
      </c>
    </row>
    <row r="39" spans="1:4">
      <c r="A39" t="s">
        <v>215</v>
      </c>
      <c r="B39" s="3" t="s">
        <v>78</v>
      </c>
      <c r="C39" t="str">
        <f>VLOOKUP(Table2[[#This Row],[KODE BARANG ]],DATA!B40:C111,2,FALSE)</f>
        <v xml:space="preserve">SUSU UHT </v>
      </c>
      <c r="D39" s="1">
        <v>12</v>
      </c>
    </row>
    <row r="40" spans="1:4">
      <c r="B40" s="3" t="s">
        <v>80</v>
      </c>
      <c r="C40" t="str">
        <f>VLOOKUP(Table2[[#This Row],[KODE BARANG ]],DATA!B41:C112,2,FALSE)</f>
        <v>MAX CREAMER</v>
      </c>
      <c r="D40" s="1">
        <v>1</v>
      </c>
    </row>
    <row r="41" spans="1:4">
      <c r="B41" s="3" t="s">
        <v>82</v>
      </c>
      <c r="C41" t="str">
        <f>VLOOKUP(Table2[[#This Row],[KODE BARANG ]],DATA!B42:C113,2,FALSE)</f>
        <v xml:space="preserve">SUSU EVAPORASI </v>
      </c>
      <c r="D41" s="1">
        <v>1</v>
      </c>
    </row>
    <row r="42" spans="1:4">
      <c r="B42" s="3" t="s">
        <v>84</v>
      </c>
      <c r="C42" t="str">
        <f>VLOOKUP(Table2[[#This Row],[KODE BARANG ]],DATA!B43:C114,2,FALSE)</f>
        <v xml:space="preserve">MORING TOPPING COKLAT </v>
      </c>
      <c r="D42" s="1">
        <v>2</v>
      </c>
    </row>
    <row r="43" spans="1:4">
      <c r="B43" s="3" t="s">
        <v>86</v>
      </c>
      <c r="C43" t="str">
        <f>VLOOKUP(Table2[[#This Row],[KODE BARANG ]],DATA!B44:C115,2,FALSE)</f>
        <v xml:space="preserve">MORING TOPPING CARAMEL </v>
      </c>
      <c r="D43" s="1" t="s">
        <v>166</v>
      </c>
    </row>
    <row r="44" spans="1:4">
      <c r="B44" s="3" t="s">
        <v>88</v>
      </c>
      <c r="C44" t="str">
        <f>VLOOKUP(Table2[[#This Row],[KODE BARANG ]],DATA!B45:C116,2,FALSE)</f>
        <v>MORING TOPPING STRAWBERY</v>
      </c>
      <c r="D44" s="1" t="s">
        <v>166</v>
      </c>
    </row>
    <row r="45" spans="1:4">
      <c r="B45" s="3" t="s">
        <v>90</v>
      </c>
      <c r="C45" t="str">
        <f>VLOOKUP(Table2[[#This Row],[KODE BARANG ]],DATA!B46:C117,2,FALSE)</f>
        <v>MARJAN LECI</v>
      </c>
      <c r="D45" s="1" t="s">
        <v>166</v>
      </c>
    </row>
    <row r="46" spans="1:4">
      <c r="B46" s="3" t="s">
        <v>92</v>
      </c>
      <c r="C46" t="str">
        <f>VLOOKUP(Table2[[#This Row],[KODE BARANG ]],DATA!B47:C118,2,FALSE)</f>
        <v>MARJAN VANILA</v>
      </c>
      <c r="D46" s="1" t="s">
        <v>166</v>
      </c>
    </row>
    <row r="47" spans="1:4">
      <c r="B47" s="3" t="s">
        <v>94</v>
      </c>
      <c r="C47" t="str">
        <f>VLOOKUP(Table2[[#This Row],[KODE BARANG ]],DATA!B48:C119,2,FALSE)</f>
        <v xml:space="preserve">ABC COCOPANDAN </v>
      </c>
      <c r="D47" s="1" t="s">
        <v>166</v>
      </c>
    </row>
    <row r="48" spans="1:4">
      <c r="B48" s="3" t="s">
        <v>96</v>
      </c>
      <c r="C48" t="str">
        <f>VLOOKUP(Table2[[#This Row],[KODE BARANG ]],DATA!B49:C120,2,FALSE)</f>
        <v>DENALI VANILA</v>
      </c>
      <c r="D48" s="1" t="s">
        <v>166</v>
      </c>
    </row>
    <row r="49" spans="2:4">
      <c r="B49" s="3" t="s">
        <v>98</v>
      </c>
      <c r="C49" t="str">
        <f>VLOOKUP(Table2[[#This Row],[KODE BARANG ]],DATA!B50:C121,2,FALSE)</f>
        <v>DENALI TIRAMISU</v>
      </c>
      <c r="D49" s="1" t="s">
        <v>166</v>
      </c>
    </row>
    <row r="50" spans="2:4">
      <c r="B50" s="3" t="s">
        <v>100</v>
      </c>
      <c r="C50" t="str">
        <f>VLOOKUP(Table2[[#This Row],[KODE BARANG ]],DATA!B51:C122,2,FALSE)</f>
        <v>DENALI STRAWBERY</v>
      </c>
      <c r="D50" s="1" t="s">
        <v>166</v>
      </c>
    </row>
    <row r="51" spans="2:4">
      <c r="B51" s="3" t="s">
        <v>102</v>
      </c>
      <c r="C51" t="str">
        <f>VLOOKUP(Table2[[#This Row],[KODE BARANG ]],DATA!B52:C123,2,FALSE)</f>
        <v>DENALI GRENADINE</v>
      </c>
      <c r="D51" s="1" t="s">
        <v>166</v>
      </c>
    </row>
    <row r="52" spans="2:4">
      <c r="B52" s="3" t="s">
        <v>104</v>
      </c>
      <c r="C52" t="str">
        <f>VLOOKUP(Table2[[#This Row],[KODE BARANG ]],DATA!B53:C124,2,FALSE)</f>
        <v>TORANI MOJITO MINT</v>
      </c>
      <c r="D52" s="1" t="s">
        <v>166</v>
      </c>
    </row>
    <row r="53" spans="2:4">
      <c r="B53" s="3" t="s">
        <v>106</v>
      </c>
      <c r="C53" t="str">
        <f>VLOOKUP(Table2[[#This Row],[KODE BARANG ]],DATA!B54:C125,2,FALSE)</f>
        <v xml:space="preserve">TORANI CARAMEL </v>
      </c>
      <c r="D53" s="1" t="s">
        <v>166</v>
      </c>
    </row>
    <row r="54" spans="2:4">
      <c r="B54" s="3" t="s">
        <v>108</v>
      </c>
      <c r="C54" t="str">
        <f>VLOOKUP(Table2[[#This Row],[KODE BARANG ]],DATA!B55:C126,2,FALSE)</f>
        <v xml:space="preserve">TORANI GREAN APLLE </v>
      </c>
      <c r="D54" s="1" t="s">
        <v>166</v>
      </c>
    </row>
    <row r="55" spans="2:4">
      <c r="B55" s="3" t="s">
        <v>110</v>
      </c>
      <c r="C55" t="str">
        <f>VLOOKUP(Table2[[#This Row],[KODE BARANG ]],DATA!B56:C127,2,FALSE)</f>
        <v>TORANI HUZELNUT</v>
      </c>
      <c r="D55" s="1" t="s">
        <v>166</v>
      </c>
    </row>
    <row r="56" spans="2:4">
      <c r="B56" s="3" t="s">
        <v>112</v>
      </c>
      <c r="C56" t="str">
        <f>VLOOKUP(Table2[[#This Row],[KODE BARANG ]],DATA!B57:C128,2,FALSE)</f>
        <v xml:space="preserve">DRIP PANDAN </v>
      </c>
      <c r="D56" s="1" t="s">
        <v>166</v>
      </c>
    </row>
    <row r="57" spans="2:4">
      <c r="B57" s="3" t="s">
        <v>114</v>
      </c>
      <c r="C57" t="str">
        <f>VLOOKUP(Table2[[#This Row],[KODE BARANG ]],DATA!B58:C129,2,FALSE)</f>
        <v>DRIP BUTTERSCUTH</v>
      </c>
      <c r="D57" s="1">
        <v>1</v>
      </c>
    </row>
    <row r="58" spans="2:4">
      <c r="B58" s="3" t="s">
        <v>116</v>
      </c>
      <c r="C58" t="str">
        <f>VLOOKUP(Table2[[#This Row],[KODE BARANG ]],DATA!B59:C130,2,FALSE)</f>
        <v>DARK COCO POWDER</v>
      </c>
      <c r="D58" s="1" t="s">
        <v>166</v>
      </c>
    </row>
    <row r="59" spans="2:4">
      <c r="B59" s="3" t="s">
        <v>118</v>
      </c>
      <c r="C59" t="str">
        <f>VLOOKUP(Table2[[#This Row],[KODE BARANG ]],DATA!B60:C131,2,FALSE)</f>
        <v xml:space="preserve">DENALI POWDER VANILLA </v>
      </c>
      <c r="D59" s="1" t="s">
        <v>166</v>
      </c>
    </row>
    <row r="60" spans="2:4">
      <c r="B60" s="3" t="s">
        <v>120</v>
      </c>
      <c r="C60" t="str">
        <f>VLOOKUP(Table2[[#This Row],[KODE BARANG ]],DATA!B61:C132,2,FALSE)</f>
        <v xml:space="preserve">DENALI POWDER TARO </v>
      </c>
      <c r="D60" s="1" t="s">
        <v>166</v>
      </c>
    </row>
    <row r="61" spans="2:4">
      <c r="B61" s="3" t="s">
        <v>122</v>
      </c>
      <c r="C61" t="str">
        <f>VLOOKUP(Table2[[#This Row],[KODE BARANG ]],DATA!B62:C133,2,FALSE)</f>
        <v>OREO CRUMBE</v>
      </c>
      <c r="D61" s="1" t="s">
        <v>166</v>
      </c>
    </row>
    <row r="62" spans="2:4">
      <c r="B62" s="3" t="s">
        <v>124</v>
      </c>
      <c r="C62" t="str">
        <f>VLOOKUP(Table2[[#This Row],[KODE BARANG ]],DATA!B63:C134,2,FALSE)</f>
        <v>OREO ORIGINAL</v>
      </c>
      <c r="D62" s="1" t="s">
        <v>166</v>
      </c>
    </row>
    <row r="63" spans="2:4">
      <c r="B63" s="3" t="s">
        <v>126</v>
      </c>
      <c r="C63" t="str">
        <f>VLOOKUP(Table2[[#This Row],[KODE BARANG ]],DATA!B64:C135,2,FALSE)</f>
        <v>CHO CHO RATU COKLAT</v>
      </c>
      <c r="D63" s="1" t="s">
        <v>166</v>
      </c>
    </row>
    <row r="64" spans="2:4">
      <c r="B64" s="3" t="s">
        <v>128</v>
      </c>
      <c r="C64" t="str">
        <f>VLOOKUP(Table2[[#This Row],[KODE BARANG ]],DATA!B65:C136,2,FALSE)</f>
        <v>CHO CHO RATU STRAWBERY</v>
      </c>
      <c r="D64" s="1" t="s">
        <v>166</v>
      </c>
    </row>
    <row r="65" spans="1:4">
      <c r="A65" t="s">
        <v>215</v>
      </c>
      <c r="B65" s="3" t="s">
        <v>130</v>
      </c>
      <c r="C65" t="str">
        <f>VLOOKUP(Table2[[#This Row],[KODE BARANG ]],DATA!B66:C137,2,FALSE)</f>
        <v>THE POCI</v>
      </c>
      <c r="D65" s="1" t="s">
        <v>166</v>
      </c>
    </row>
    <row r="66" spans="1:4">
      <c r="B66" s="3" t="s">
        <v>132</v>
      </c>
      <c r="C66" t="str">
        <f>VLOOKUP(Table2[[#This Row],[KODE BARANG ]],DATA!B67:C138,2,FALSE)</f>
        <v>OUT MILK</v>
      </c>
      <c r="D66" s="1" t="s">
        <v>166</v>
      </c>
    </row>
    <row r="67" spans="1:4">
      <c r="A67" t="s">
        <v>215</v>
      </c>
      <c r="B67" s="3" t="s">
        <v>134</v>
      </c>
      <c r="C67" t="str">
        <f>VLOOKUP(Table2[[#This Row],[KODE BARANG ]],DATA!B68:C139,2,FALSE)</f>
        <v>LYCHEES IN SIRUP</v>
      </c>
      <c r="D67" s="1" t="s">
        <v>166</v>
      </c>
    </row>
    <row r="68" spans="1:4">
      <c r="B68" s="3" t="s">
        <v>136</v>
      </c>
      <c r="C68" t="str">
        <f>VLOOKUP(Table2[[#This Row],[KODE BARANG ]],DATA!B69:C140,2,FALSE)</f>
        <v xml:space="preserve">WIPPY CREAM </v>
      </c>
      <c r="D68" s="1" t="s">
        <v>166</v>
      </c>
    </row>
    <row r="69" spans="1:4">
      <c r="B69" s="3" t="s">
        <v>138</v>
      </c>
      <c r="C69" t="str">
        <f>VLOOKUP(Table2[[#This Row],[KODE BARANG ]],DATA!B70:C141,2,FALSE)</f>
        <v>KEJU PROCHIZ GOLD</v>
      </c>
      <c r="D69" s="1" t="s">
        <v>166</v>
      </c>
    </row>
    <row r="70" spans="1:4">
      <c r="B70" s="3" t="s">
        <v>140</v>
      </c>
      <c r="C70" t="str">
        <f>VLOOKUP(Table2[[#This Row],[KODE BARANG ]],DATA!B71:C142,2,FALSE)</f>
        <v>KEJU PROCHIZ SPREADY</v>
      </c>
      <c r="D70" s="1" t="s">
        <v>166</v>
      </c>
    </row>
    <row r="71" spans="1:4">
      <c r="B71" s="3" t="s">
        <v>142</v>
      </c>
      <c r="C71" t="str">
        <f>VLOOKUP(Table2[[#This Row],[KODE BARANG ]],DATA!B72:C143,2,FALSE)</f>
        <v xml:space="preserve">SIRUP GULA AREN </v>
      </c>
      <c r="D71" s="1">
        <v>1</v>
      </c>
    </row>
    <row r="72" spans="1:4">
      <c r="A72" t="s">
        <v>215</v>
      </c>
      <c r="B72" s="3" t="s">
        <v>144</v>
      </c>
      <c r="C72" t="str">
        <f>VLOOKUP(Table2[[#This Row],[KODE BARANG ]],DATA!B73:C144,2,FALSE)</f>
        <v>SPRITE</v>
      </c>
      <c r="D72" s="1">
        <v>2</v>
      </c>
    </row>
    <row r="73" spans="1:4">
      <c r="A73" t="s">
        <v>215</v>
      </c>
      <c r="B73" s="3" t="s">
        <v>146</v>
      </c>
      <c r="C73" t="str">
        <f>VLOOKUP(Table2[[#This Row],[KODE BARANG ]],DATA!B74:C145,2,FALSE)</f>
        <v xml:space="preserve">SUSU OMELA </v>
      </c>
      <c r="D73" s="1">
        <v>2</v>
      </c>
    </row>
    <row r="74" spans="1:4">
      <c r="B74" s="3" t="s">
        <v>148</v>
      </c>
      <c r="C74" t="str">
        <f>VLOOKUP(Table2[[#This Row],[KODE BARANG ]],DATA!B75:C146,2,FALSE)</f>
        <v xml:space="preserve">SUSU COKLAT </v>
      </c>
      <c r="D74" s="1">
        <v>1</v>
      </c>
    </row>
    <row r="75" spans="1:4">
      <c r="B75" s="3" t="s">
        <v>150</v>
      </c>
      <c r="C75" t="str">
        <f>VLOOKUP(Table2[[#This Row],[KODE BARANG ]],DATA!B76:C147,2,FALSE)</f>
        <v xml:space="preserve">ES CREAM COKLAT </v>
      </c>
      <c r="D75" s="1" t="s">
        <v>166</v>
      </c>
    </row>
    <row r="76" spans="1:4">
      <c r="B76" s="3" t="s">
        <v>152</v>
      </c>
      <c r="C76" t="str">
        <f>VLOOKUP(Table2[[#This Row],[KODE BARANG ]],DATA!B77:C148,2,FALSE)</f>
        <v xml:space="preserve">ES CREAM VANILLA </v>
      </c>
      <c r="D76" s="1" t="s">
        <v>166</v>
      </c>
    </row>
    <row r="77" spans="1:4">
      <c r="B77" s="4" t="s">
        <v>154</v>
      </c>
      <c r="C77" t="str">
        <f>VLOOKUP(Table2[[#This Row],[KODE BARANG ]],DATA!B78:C149,2,FALSE)</f>
        <v>ES CREAM STRAWBERY</v>
      </c>
      <c r="D77" s="1" t="s">
        <v>166</v>
      </c>
    </row>
    <row r="78" spans="1:4">
      <c r="B78" s="3" t="s">
        <v>156</v>
      </c>
      <c r="C78" t="str">
        <f>VLOOKUP(Table2[[#This Row],[KODE BARANG ]],DATA!B79:C150,2,FALSE)</f>
        <v>GULA PASIR</v>
      </c>
      <c r="D78" s="1" t="s">
        <v>166</v>
      </c>
    </row>
    <row r="79" spans="1:4">
      <c r="A79" t="s">
        <v>215</v>
      </c>
      <c r="B79" s="4" t="s">
        <v>158</v>
      </c>
      <c r="C79" t="str">
        <f>VLOOKUP(Table2[[#This Row],[KODE BARANG ]],DATA!B80:C151,2,FALSE)</f>
        <v>SUNLIGHT 5L</v>
      </c>
      <c r="D79" s="1" t="s">
        <v>166</v>
      </c>
    </row>
    <row r="80" spans="1:4">
      <c r="B80" s="3" t="s">
        <v>160</v>
      </c>
      <c r="C80" t="str">
        <f>VLOOKUP(Table2[[#This Row],[KODE BARANG ]],DATA!B81:C152,2,FALSE)</f>
        <v xml:space="preserve">KENTANG </v>
      </c>
      <c r="D80" s="1" t="s">
        <v>166</v>
      </c>
    </row>
    <row r="81" spans="1:4">
      <c r="B81" s="4" t="s">
        <v>162</v>
      </c>
      <c r="C81" t="str">
        <f>VLOOKUP(Table2[[#This Row],[KODE BARANG ]],DATA!B82:C154,2,FALSE)</f>
        <v xml:space="preserve">SINGKONG </v>
      </c>
    </row>
    <row r="82" spans="1:4">
      <c r="A82" t="s">
        <v>215</v>
      </c>
      <c r="B82" s="3" t="s">
        <v>164</v>
      </c>
      <c r="C82" t="str">
        <f>VLOOKUP(Table2[[#This Row],[KODE BARANG ]],DATA!B83:C155,2,FALSE)</f>
        <v xml:space="preserve">BAKSO IKAN </v>
      </c>
      <c r="D82" s="1" t="s">
        <v>166</v>
      </c>
    </row>
    <row r="83" spans="1:4">
      <c r="B83" s="4" t="s">
        <v>167</v>
      </c>
      <c r="C83" t="str">
        <f>VLOOKUP(Table2[[#This Row],[KODE BARANG ]],DATA!B84:C156,2,FALSE)</f>
        <v>BAKSO SAPI</v>
      </c>
    </row>
    <row r="84" spans="1:4">
      <c r="B84" s="3" t="s">
        <v>169</v>
      </c>
      <c r="C84" t="str">
        <f>VLOOKUP(Table2[[#This Row],[KODE BARANG ]],DATA!B85:C157,2,FALSE)</f>
        <v>IKAN KAKAP XL</v>
      </c>
    </row>
    <row r="85" spans="1:4">
      <c r="B85" s="4" t="s">
        <v>171</v>
      </c>
      <c r="C85" t="str">
        <f>VLOOKUP(Table2[[#This Row],[KODE BARANG ]],DATA!B86:C158,2,FALSE)</f>
        <v>IKAN KAKAP L</v>
      </c>
    </row>
    <row r="86" spans="1:4">
      <c r="B86" s="3" t="s">
        <v>173</v>
      </c>
      <c r="C86" t="str">
        <f>VLOOKUP(Table2[[#This Row],[KODE BARANG ]],DATA!B87:C159,2,FALSE)</f>
        <v>IKAN KAKAP M</v>
      </c>
    </row>
    <row r="87" spans="1:4">
      <c r="A87" t="s">
        <v>215</v>
      </c>
      <c r="B87" s="4" t="s">
        <v>175</v>
      </c>
      <c r="C87" t="str">
        <f>VLOOKUP(Table2[[#This Row],[KODE BARANG ]],DATA!B88:C160,2,FALSE)</f>
        <v>IKAN MUBARA XL</v>
      </c>
      <c r="D87" s="1" t="s">
        <v>166</v>
      </c>
    </row>
    <row r="88" spans="1:4">
      <c r="B88" s="3" t="s">
        <v>177</v>
      </c>
      <c r="C88" t="str">
        <f>VLOOKUP(Table2[[#This Row],[KODE BARANG ]],DATA!B89:C161,2,FALSE)</f>
        <v>IKAN MUBARA L</v>
      </c>
    </row>
    <row r="89" spans="1:4">
      <c r="B89" s="4" t="s">
        <v>179</v>
      </c>
      <c r="C89" t="str">
        <f>VLOOKUP(Table2[[#This Row],[KODE BARANG ]],DATA!B90:C162,2,FALSE)</f>
        <v>IKAN MUBARA M</v>
      </c>
    </row>
    <row r="90" spans="1:4">
      <c r="B90" s="3" t="s">
        <v>181</v>
      </c>
      <c r="C90" t="str">
        <f>VLOOKUP(Table2[[#This Row],[KODE BARANG ]],DATA!B91:C163,2,FALSE)</f>
        <v>IKAN MUBARA JUMBO</v>
      </c>
    </row>
    <row r="91" spans="1:4">
      <c r="B91" s="4" t="s">
        <v>183</v>
      </c>
      <c r="C91" t="str">
        <f>VLOOKUP(Table2[[#This Row],[KODE BARANG ]],DATA!B92:C164,2,FALSE)</f>
        <v>IKAN KERAPU XL</v>
      </c>
    </row>
    <row r="92" spans="1:4">
      <c r="B92" s="3" t="s">
        <v>185</v>
      </c>
      <c r="C92" t="str">
        <f>VLOOKUP(Table2[[#This Row],[KODE BARANG ]],DATA!B93:C165,2,FALSE)</f>
        <v>IKAN KERAPU L</v>
      </c>
    </row>
    <row r="93" spans="1:4">
      <c r="A93" t="s">
        <v>215</v>
      </c>
      <c r="B93" s="4" t="s">
        <v>187</v>
      </c>
      <c r="C93" t="str">
        <f>VLOOKUP(Table2[[#This Row],[KODE BARANG ]],DATA!B94:C166,2,FALSE)</f>
        <v>IKAN KERAPU M</v>
      </c>
      <c r="D93" s="1" t="s">
        <v>166</v>
      </c>
    </row>
    <row r="94" spans="1:4">
      <c r="B94" s="3" t="s">
        <v>189</v>
      </c>
      <c r="C94" t="str">
        <f>VLOOKUP(Table2[[#This Row],[KODE BARANG ]],DATA!B95:C167,2,FALSE)</f>
        <v>AYAM 0,9 KG</v>
      </c>
    </row>
    <row r="95" spans="1:4">
      <c r="B95" s="4" t="s">
        <v>191</v>
      </c>
      <c r="C95" t="str">
        <f>VLOOKUP(Table2[[#This Row],[KODE BARANG ]],DATA!B96:C168,2,FALSE)</f>
        <v>AYAM 2 KG</v>
      </c>
    </row>
    <row r="96" spans="1:4">
      <c r="B96" s="3" t="s">
        <v>193</v>
      </c>
      <c r="C96" t="str">
        <f>VLOOKUP(Table2[[#This Row],[KODE BARANG ]],DATA!B97:C169,2,FALSE)</f>
        <v>AYAM BLD</v>
      </c>
    </row>
    <row r="97" spans="2:4">
      <c r="B97" s="4" t="s">
        <v>195</v>
      </c>
      <c r="C97" t="str">
        <f>VLOOKUP(Table2[[#This Row],[KODE BARANG ]],DATA!B98:C170,2,FALSE)</f>
        <v>AYAM BLP</v>
      </c>
    </row>
    <row r="98" spans="2:4">
      <c r="B98" s="3" t="s">
        <v>197</v>
      </c>
      <c r="C98" t="str">
        <f>VLOOKUP(Table2[[#This Row],[KODE BARANG ]],DATA!B99:C171,2,FALSE)</f>
        <v>UDANG</v>
      </c>
    </row>
    <row r="99" spans="2:4">
      <c r="B99" s="4" t="s">
        <v>199</v>
      </c>
      <c r="C99" t="str">
        <f>VLOOKUP(Table2[[#This Row],[KODE BARANG ]],DATA!B100:C172,2,FALSE)</f>
        <v>CUMI</v>
      </c>
    </row>
    <row r="100" spans="2:4">
      <c r="B100" s="3" t="s">
        <v>201</v>
      </c>
      <c r="C100" t="str">
        <f>VLOOKUP(Table2[[#This Row],[KODE BARANG ]],DATA!B101:C173,2,FALSE)</f>
        <v xml:space="preserve">RAHANG TUNA </v>
      </c>
    </row>
    <row r="101" spans="2:4">
      <c r="B101" s="4" t="s">
        <v>204</v>
      </c>
      <c r="C101" t="str">
        <f>VLOOKUP(Table2[[#This Row],[KODE BARANG ]],DATA!B102:C174,2,FALSE)</f>
        <v xml:space="preserve">DADA TUNA </v>
      </c>
    </row>
    <row r="102" spans="2:4">
      <c r="B102" s="3" t="s">
        <v>206</v>
      </c>
      <c r="C102" t="str">
        <f>VLOOKUP(Table2[[#This Row],[KODE BARANG ]],DATA!B103:C175,2,FALSE)</f>
        <v>WIPOL</v>
      </c>
      <c r="D102" s="1">
        <v>2</v>
      </c>
    </row>
    <row r="103" spans="2:4">
      <c r="B103" s="4" t="s">
        <v>207</v>
      </c>
      <c r="C103" t="str">
        <f>VLOOKUP(Table2[[#This Row],[KODE BARANG ]],DATA!B104:C176,2,FALSE)</f>
        <v xml:space="preserve">CLING </v>
      </c>
    </row>
    <row r="104" spans="2:4">
      <c r="B104" s="3" t="s">
        <v>208</v>
      </c>
      <c r="C104" t="str">
        <f>VLOOKUP(Table2[[#This Row],[KODE BARANG ]],DATA!B105:C177,2,FALSE)</f>
        <v xml:space="preserve">KANTONG SAMPAH JUMBO </v>
      </c>
    </row>
    <row r="105" spans="2:4">
      <c r="B105" s="4" t="s">
        <v>209</v>
      </c>
      <c r="C105" t="str">
        <f>VLOOKUP(Table2[[#This Row],[KODE BARANG ]],DATA!B106:C178,2,FALSE)</f>
        <v>KANTONG SAMPAH BESAR</v>
      </c>
    </row>
  </sheetData>
  <mergeCells count="1">
    <mergeCell ref="A1:D1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DATA!$B$5:$B$78</xm:f>
          </x14:formula1>
          <xm:sqref>B4:B105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BARANG MASUK </vt:lpstr>
      <vt:lpstr>Sheet1</vt:lpstr>
      <vt:lpstr>BARANG KELUAR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Aldi</dc:creator>
  <cp:lastModifiedBy>hasnidar.sakir@gmail.com</cp:lastModifiedBy>
  <dcterms:created xsi:type="dcterms:W3CDTF">2026-03-17T08:57:00Z</dcterms:created>
  <dcterms:modified xsi:type="dcterms:W3CDTF">2026-04-01T13:09:49Z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50E63DB921CB40708B740A759CF64DE2_13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